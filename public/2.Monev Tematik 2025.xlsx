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BA883EA-BBCF-456D-8F65-EAAC63EC9550}" xr6:coauthVersionLast="47" xr6:coauthVersionMax="47" xr10:uidLastSave="{00000000-0000-0000-0000-000000000000}"/>
  <bookViews>
    <workbookView xWindow="-98" yWindow="-98" windowWidth="21795" windowHeight="12975" xr2:uid="{00000000-000D-0000-FFFF-FFFF00000000}"/>
  </bookViews>
  <sheets>
    <sheet name="SIKLUS 1" sheetId="1" r:id="rId1"/>
  </sheets>
  <definedNames>
    <definedName name="_xlnm._FilterDatabase" localSheetId="0" hidden="1">'SIKLUS 1'!$A$3:$AP$104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E9mpNuKKXykZQoNdLDVd1FAy5IYKIxj3buNkq8D6QHg="/>
    </ext>
  </extLst>
</workbook>
</file>

<file path=xl/calcChain.xml><?xml version="1.0" encoding="utf-8"?>
<calcChain xmlns="http://schemas.openxmlformats.org/spreadsheetml/2006/main">
  <c r="AE105" i="1" l="1"/>
  <c r="AD105" i="1"/>
  <c r="AE69" i="1"/>
  <c r="AD104" i="1"/>
  <c r="AD29" i="1"/>
  <c r="AD27" i="1"/>
  <c r="AD12" i="1"/>
  <c r="AD11" i="1"/>
  <c r="AD4" i="1"/>
  <c r="AE4" i="1"/>
  <c r="AD96" i="1"/>
  <c r="AD97" i="1"/>
  <c r="AE5" i="1"/>
  <c r="AE6" i="1"/>
  <c r="AE7" i="1"/>
  <c r="AE8" i="1"/>
  <c r="AE9" i="1"/>
  <c r="AE10" i="1"/>
  <c r="AE11" i="1"/>
  <c r="AE12" i="1"/>
  <c r="AE13" i="1"/>
  <c r="AE14" i="1"/>
  <c r="AE15" i="1"/>
  <c r="AE16" i="1"/>
  <c r="AE17" i="1"/>
  <c r="AE19" i="1"/>
  <c r="AE20" i="1"/>
  <c r="AE21" i="1"/>
  <c r="AE22" i="1"/>
  <c r="AE23" i="1"/>
  <c r="AE25" i="1"/>
  <c r="AE26" i="1"/>
  <c r="AE27" i="1"/>
  <c r="AE28" i="1"/>
  <c r="AE29" i="1"/>
  <c r="AE30" i="1"/>
  <c r="AE32" i="1"/>
  <c r="AE33" i="1"/>
  <c r="AE34" i="1"/>
  <c r="AE35" i="1"/>
  <c r="AE38" i="1"/>
  <c r="AE39" i="1"/>
  <c r="AE40" i="1"/>
  <c r="AE41" i="1"/>
  <c r="AE42" i="1"/>
  <c r="AE44" i="1"/>
  <c r="AE47" i="1"/>
  <c r="AE49" i="1"/>
  <c r="AE50" i="1"/>
  <c r="AE51" i="1"/>
  <c r="AE52" i="1"/>
  <c r="AE53" i="1"/>
  <c r="AE54" i="1"/>
  <c r="AE55" i="1"/>
  <c r="AE57" i="1"/>
  <c r="AE58" i="1"/>
  <c r="AE59" i="1"/>
  <c r="AE60" i="1"/>
  <c r="AE61" i="1"/>
  <c r="AE62" i="1"/>
  <c r="AE63" i="1"/>
  <c r="AE64" i="1"/>
  <c r="AE65" i="1"/>
  <c r="AE67" i="1"/>
  <c r="AE68" i="1"/>
  <c r="AE70" i="1"/>
  <c r="AE71" i="1"/>
  <c r="AE72" i="1"/>
  <c r="AE73" i="1"/>
  <c r="AE74" i="1"/>
  <c r="AE75" i="1"/>
  <c r="AE76" i="1"/>
  <c r="AE77" i="1"/>
  <c r="AE78" i="1"/>
  <c r="AE79" i="1"/>
  <c r="AE80" i="1"/>
  <c r="AE81" i="1"/>
  <c r="AE82" i="1"/>
  <c r="AE83" i="1"/>
  <c r="AE84" i="1"/>
  <c r="AE85" i="1"/>
  <c r="AE86" i="1"/>
  <c r="AE88" i="1"/>
  <c r="AE89" i="1"/>
  <c r="AE90" i="1"/>
  <c r="AE91" i="1"/>
  <c r="AE92" i="1"/>
  <c r="AE93" i="1"/>
  <c r="AE94" i="1"/>
  <c r="AE95" i="1"/>
  <c r="AE96" i="1"/>
  <c r="AE97" i="1"/>
  <c r="AE98" i="1"/>
  <c r="AE99" i="1"/>
  <c r="AE100" i="1"/>
  <c r="AE101" i="1"/>
  <c r="AE102" i="1"/>
  <c r="AE104" i="1"/>
  <c r="AD98" i="1"/>
  <c r="AD99" i="1"/>
  <c r="AD101" i="1"/>
  <c r="AD102" i="1"/>
  <c r="AD103" i="1"/>
  <c r="AD6" i="1"/>
  <c r="AD7" i="1"/>
  <c r="AD8" i="1"/>
  <c r="AD9" i="1"/>
  <c r="AD10" i="1"/>
  <c r="AD13" i="1"/>
  <c r="AD14" i="1"/>
  <c r="AD15" i="1"/>
  <c r="AD16" i="1"/>
  <c r="AD17" i="1"/>
  <c r="AD18" i="1"/>
  <c r="AD19" i="1"/>
  <c r="AD20" i="1"/>
  <c r="AD21" i="1"/>
  <c r="AD22" i="1"/>
  <c r="AD23" i="1"/>
  <c r="AD24" i="1"/>
  <c r="AD25" i="1"/>
  <c r="AD26" i="1"/>
  <c r="AD28"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5" i="1"/>
  <c r="L103" i="1"/>
  <c r="H103" i="1"/>
  <c r="L100" i="1"/>
  <c r="K100" i="1"/>
  <c r="AD100" i="1" s="1"/>
  <c r="P87" i="1"/>
  <c r="L87" i="1"/>
  <c r="H87" i="1"/>
  <c r="H66" i="1"/>
  <c r="AE66" i="1" s="1"/>
  <c r="L56" i="1"/>
  <c r="H56" i="1"/>
  <c r="L48" i="1"/>
  <c r="AE48" i="1" s="1"/>
  <c r="H46" i="1"/>
  <c r="AE46" i="1" s="1"/>
  <c r="X45" i="1"/>
  <c r="T45" i="1"/>
  <c r="P45" i="1"/>
  <c r="L45" i="1"/>
  <c r="T43" i="1"/>
  <c r="AE43" i="1" s="1"/>
  <c r="P37" i="1"/>
  <c r="L37" i="1"/>
  <c r="H37" i="1"/>
  <c r="AE37" i="1" s="1"/>
  <c r="H36" i="1"/>
  <c r="AE36" i="1" s="1"/>
  <c r="L31" i="1"/>
  <c r="H31" i="1"/>
  <c r="AE31" i="1" s="1"/>
  <c r="L24" i="1"/>
  <c r="H24" i="1"/>
  <c r="AE24" i="1" s="1"/>
  <c r="L18" i="1"/>
  <c r="H18" i="1"/>
  <c r="AE18" i="1" s="1"/>
  <c r="AE87" i="1" l="1"/>
  <c r="AE56" i="1"/>
  <c r="AE103" i="1"/>
  <c r="AE45" i="1"/>
</calcChain>
</file>

<file path=xl/sharedStrings.xml><?xml version="1.0" encoding="utf-8"?>
<sst xmlns="http://schemas.openxmlformats.org/spreadsheetml/2006/main" count="816" uniqueCount="414">
  <si>
    <t>No</t>
  </si>
  <si>
    <t>Nama KDMP</t>
  </si>
  <si>
    <t>Kabupaten</t>
  </si>
  <si>
    <t>Provinsi</t>
  </si>
  <si>
    <t>Komoditas</t>
  </si>
  <si>
    <t>Panen 1</t>
  </si>
  <si>
    <t>Panen 2</t>
  </si>
  <si>
    <t>Panen 3</t>
  </si>
  <si>
    <t>Panen 4</t>
  </si>
  <si>
    <t>Panen 5</t>
  </si>
  <si>
    <t>Panen 6</t>
  </si>
  <si>
    <t>SR rata-rata</t>
  </si>
  <si>
    <t>FCR rata-rata</t>
  </si>
  <si>
    <t>Kendala</t>
  </si>
  <si>
    <t>Solusi atau Saran</t>
  </si>
  <si>
    <t>Link Dokumentasi</t>
  </si>
  <si>
    <t>Keterangan Tambahan</t>
  </si>
  <si>
    <t>Tanggal</t>
  </si>
  <si>
    <t>Volume Produksi (Kg)</t>
  </si>
  <si>
    <t>Nilai Produksi (Rp)</t>
  </si>
  <si>
    <t>Tujuan Pasar</t>
  </si>
  <si>
    <t>Koperasi Desa Merah Putih Mekarmukti</t>
  </si>
  <si>
    <t>Bandung Barat</t>
  </si>
  <si>
    <t>Jawa Barat</t>
  </si>
  <si>
    <t>Nila</t>
  </si>
  <si>
    <t xml:space="preserve">Belum Panen (rencana panen ukuran 10/12 ekor per kg) </t>
  </si>
  <si>
    <t>Koperasi Desa Merah Putih Mekarsari</t>
  </si>
  <si>
    <t>Lele</t>
  </si>
  <si>
    <t>Belum Panen (rencana panen ukuran 5/6 ekor per kg)</t>
  </si>
  <si>
    <t>Koperasi Desa Merah Putih Babakan</t>
  </si>
  <si>
    <t>Banyumas</t>
  </si>
  <si>
    <t>Jawa Tengah</t>
  </si>
  <si>
    <t>Koperasi Desa Merah Putih Dawuhan</t>
  </si>
  <si>
    <t>belum panen</t>
  </si>
  <si>
    <t>Koperasi Desa Merah Putih Wiradadi</t>
  </si>
  <si>
    <t>Nila/Lele</t>
  </si>
  <si>
    <t>lokal</t>
  </si>
  <si>
    <t xml:space="preserve">belum panen </t>
  </si>
  <si>
    <t>Koperasi Desa Merah Putih Panembangan</t>
  </si>
  <si>
    <t xml:space="preserve">Belum panen (Rencana panen pertama 1  bln lg , ukuran 5/6 ekor per kg) </t>
  </si>
  <si>
    <t>Koperasi Desa Merah Putih Wonotunggal</t>
  </si>
  <si>
    <t>Batang</t>
  </si>
  <si>
    <t>30 Maret sd 8 April 2026</t>
  </si>
  <si>
    <t>Lokal</t>
  </si>
  <si>
    <t>Koperasi Desa Merah Putih Simpar</t>
  </si>
  <si>
    <t>Panen perkiraan Mei</t>
  </si>
  <si>
    <t>-</t>
  </si>
  <si>
    <t>https://drive.google.com/drive/folders/1yf90ZgZzRqco0DYHPAEwqXFiC5wLSvId?usp=drive_link</t>
  </si>
  <si>
    <t>Koperasi Desa Merah Putih Kentong</t>
  </si>
  <si>
    <t>Blora</t>
  </si>
  <si>
    <t>masih pemeliharaan</t>
  </si>
  <si>
    <t>Belum panen, target dan rencana panen awal Mei</t>
  </si>
  <si>
    <t>Koperasi Desa Merah Putih Ngawen Sambongrejo</t>
  </si>
  <si>
    <t>Belum panen</t>
  </si>
  <si>
    <t>Koperasi Kelurahan Merah Putih Kunden</t>
  </si>
  <si>
    <t>https://drive.google.com/drive/folders/1DEHyJ8goie_l6CWxfg7gQFJwRCKspM9Y?usp=sharing</t>
  </si>
  <si>
    <t>Panen dari 2 kolam yang diambil ukuran 7-10 yang lain ditinggal untuk dibesarkan lagi.</t>
  </si>
  <si>
    <t>Koperasi Desa Merah Putih Kamolan</t>
  </si>
  <si>
    <t>Belum Panen</t>
  </si>
  <si>
    <t>Koperasi Desa Merah Putih Senting</t>
  </si>
  <si>
    <t>Boyolali</t>
  </si>
  <si>
    <t>18-3-2026</t>
  </si>
  <si>
    <t xml:space="preserve">Lokal </t>
  </si>
  <si>
    <t>2 April 2026</t>
  </si>
  <si>
    <t>4 April 2026</t>
  </si>
  <si>
    <t>1,3</t>
  </si>
  <si>
    <t xml:space="preserve">Kematian benih pada awal penebaran yang cukup banyak akibat benih yang kurang berkualitas dan terkena penyakit, keterbatasan modal operasional yang berdampak pada pemenuhan biaya listrik untuk aerasi, sehingga masih menggunakan sistem konvensional. Selain itu, keamanan lingkungan budi daya kurang aman </t>
  </si>
  <si>
    <t xml:space="preserve">Penanganan diberikan obat dan mengganti air, saat ini menggunakan sistem kocor pada saat tertentu dan KDMP memasang pagar kawat agar keamanan lingkungan budi daya optimal. </t>
  </si>
  <si>
    <t>https://drive.google.com/drive/folders/1pDJ_g8JR1QAYklnMM8YFC303lwJ1w82v</t>
  </si>
  <si>
    <t>Koperasi Desa Merah Putih Ngablak</t>
  </si>
  <si>
    <t>7 April 2026</t>
  </si>
  <si>
    <t>60 %</t>
  </si>
  <si>
    <t>Kematian beniah pada waktu awal penebaran yang cukup banyak, Keterbatasan modal operasional yang berdampak pada ketidakmampuan memenuhi biaya listrik untuk aerasi, sehingga budidaya masih dilakukan secara konvensional. Selain itu, keterbatasan pasokan air dari Pamsimas menghambat pertumbuhan ikan dan meningkatkan risiko penyakit, sementara penggunaan sistem kocor justru menyebabkan lonjakan biaya air</t>
  </si>
  <si>
    <t>Penanganan yang dilakukan masih bersifat sementara, yaitu dengan membuang sebagian (sedikit) air dan menggantinya dengan aliran air dari Pamsimas, menghimbau untuk meningkatkan keamanan lokasi kolam. Kegiatan seremonial tidak mengorbankan budi daya.</t>
  </si>
  <si>
    <t>https://drive.google.com/drive/folders/1mS1bFH9HE_oDYnLq_i16rr4K2_f5DqGb?usp=sharing</t>
  </si>
  <si>
    <t>Koperasi Desa Merah Putih Mojo</t>
  </si>
  <si>
    <t>31-03-2026</t>
  </si>
  <si>
    <t>55 %</t>
  </si>
  <si>
    <t>Kematian benih awal tebar pada masa awal penebaran dan keamanan lingkungan budidaya</t>
  </si>
  <si>
    <t>Menghimbau pada KDMP/desa untuk dapat memasang cctv untuk antisipasi keamanan kolam</t>
  </si>
  <si>
    <t>Koperasi Desa Merah Putih Baturagung</t>
  </si>
  <si>
    <t>Grobogan</t>
  </si>
  <si>
    <t>Belum panen (estimasi rencana panen bulan mei)</t>
  </si>
  <si>
    <t>Koperasi Desa Merah Putih Kedungrejo</t>
  </si>
  <si>
    <t>Belum Panen (Estimasi Rencana Panen bln mei sd Juni)</t>
  </si>
  <si>
    <t>Koperasi Desa Merah Putih Jatipecaron</t>
  </si>
  <si>
    <t>suplier SPPG</t>
  </si>
  <si>
    <t xml:space="preserve">SR dan FCR belum dihitung karena baru panen parsial perdana tanggal 20 April 2026 </t>
  </si>
  <si>
    <t>https://drive.google.com/drive/folders/1CGcHLf2KSSsWEQzcV1EbKqzX0SQF30Du?usp=drive_link</t>
  </si>
  <si>
    <t>Panen parsial 2 kolam sebanyak 350 Kg (isi 10 ekor) sisa sekitar 1 Kw yg ukuran dibawah 10, untuk kolam yg lainnya sampling terakhir tanggal 21 April 2026 didapat ukuran 22-11 ekor</t>
  </si>
  <si>
    <t>Koperasi Desa Merah Putih Ngadiluwih</t>
  </si>
  <si>
    <t>Karanganyar</t>
  </si>
  <si>
    <t>25 Maret 2026</t>
  </si>
  <si>
    <t>SPPG</t>
  </si>
  <si>
    <t xml:space="preserve">SPPG    </t>
  </si>
  <si>
    <t>Kualitas air pada sumur bor kurang bagus mengandung    karat  , dikarenakan kedalaman sumur bor  mencapai 120 M</t>
  </si>
  <si>
    <t>Koperasi Desa Merah Putih Tawangsari</t>
  </si>
  <si>
    <t>sppg Sumberejo</t>
  </si>
  <si>
    <t>pertumbuhan ikan dirasa agak lambat, apa mungkin karena pakan yg digunakan bukan dari produsen pakan yang biasa digunakan di karanganyar</t>
  </si>
  <si>
    <t>https://drive.google.com/drive/folders/1V4u4a6LUCAPpxhqHO2OUE9rUQc9l9JCM</t>
  </si>
  <si>
    <t>Koperasi Desa Merah Putih Sidomukti</t>
  </si>
  <si>
    <t>Kebumen</t>
  </si>
  <si>
    <t>Belum panen. Estimasi Panen Bulan Mei 2026 dengan ukuran 5-6 ekor/kg</t>
  </si>
  <si>
    <t>https://drive.google.com/file/d/1FOmttlkyOcL6nSbsX77ufDA_eO6_ZsMq/view?usp=drivesdk</t>
  </si>
  <si>
    <t>Koperasi Desa Merah Putih Kenoyojayan</t>
  </si>
  <si>
    <t>mortalitas awal budidaya</t>
  </si>
  <si>
    <t>benih harus yg berkualitas, teknis budidaya perlu ditingkatkan</t>
  </si>
  <si>
    <t>https://www.tiktok.com/@penyuluhperikanankebumen/video/7619127051940891912</t>
  </si>
  <si>
    <t>Koperasi Desa Merah Putih Grogolbeningsari</t>
  </si>
  <si>
    <t>07-03-2026</t>
  </si>
  <si>
    <t>10-03-2026</t>
  </si>
  <si>
    <t>Lokal dan SPPG</t>
  </si>
  <si>
    <t>19-03-2026</t>
  </si>
  <si>
    <t>Budidaya memakai sistemkonvensional, Moralitas untuk tahap awal kemarian 7566 ekor dalam masa garansi belum diganti oleh penyedia</t>
  </si>
  <si>
    <t xml:space="preserve"> bibit lebih berkualitas</t>
  </si>
  <si>
    <t>https://drive.google.com/drive/folders/1cmBoNdjLkcoxUa3NzaAvkqia1Joc7QuZ</t>
  </si>
  <si>
    <t>Koperasi Desa Merah Putih Sriwulan</t>
  </si>
  <si>
    <t>Kendal</t>
  </si>
  <si>
    <t>Kematian benih pada bulan pertama cukup banyak karena suhu yg rendah</t>
  </si>
  <si>
    <t>Penurunan ketinggian air agak suhu air naik</t>
  </si>
  <si>
    <t>https://drive.google.com/drive/folders/1HPU4ANHP2yJThPtWWgyt7T-c9CsQiY6T</t>
  </si>
  <si>
    <t>Koperasi Desa Merah Putih Karangrowo</t>
  </si>
  <si>
    <t>Kudus</t>
  </si>
  <si>
    <t>Gagal panen dan terdampak banjir</t>
  </si>
  <si>
    <t>Kematian benih pada waktu awal penebaran yang cukup banyak, Keterbatasan modal operasional yang berdampak pada ketidakmampuan memenuhi biaya listrik untuk aerasi, dan lokasi kolam terdampak banjir</t>
  </si>
  <si>
    <t>karena keterbatasan modal kdmp menawarkan skema investasi dengan warga setempat untuk dapat memulai kegiatan kolam kembali, skema ini dipilih karena pihak bumdes maupun pemdes menolak unutk kerjasama</t>
  </si>
  <si>
    <t>https://drive.google.com/file/d/1CgLmU3b0rkBBH9ORrglG9ONJ6uzezQ1I/view?usp=drive_link</t>
  </si>
  <si>
    <t>Koperasi Desa Merah Putih Undaan Lor</t>
  </si>
  <si>
    <t>Koperasi Desa Merah Putih Candiretno</t>
  </si>
  <si>
    <t>Magelang</t>
  </si>
  <si>
    <t>30/04/2026</t>
  </si>
  <si>
    <t xml:space="preserve">Benih banyak yang rusak di awal penebaran (terserang jamur), biaya listrik yang membengkak, </t>
  </si>
  <si>
    <t>Koperasi Desa Merah Putih Blondo</t>
  </si>
  <si>
    <t>Ngrajek, Magelang</t>
  </si>
  <si>
    <t>Koperasi Desa Merah Putih Pagersari</t>
  </si>
  <si>
    <t xml:space="preserve">2 April 2026 (parsial pertama) </t>
  </si>
  <si>
    <t>rencana tanggal 9-10 April 2026</t>
  </si>
  <si>
    <t>banyak kematian di minggu ke 3 budidaya, aerator sama mesin kurang memadai, alat kualitas air juga kurang memadai</t>
  </si>
  <si>
    <t>alat kualitas air yg memadai, sementara menggunakan sistem konvensional karena kondisi air melimpah</t>
  </si>
  <si>
    <t>https://drive.google.com/drive/folders/1_MYmY3brDRVCKzAvcuhe6FQGIBqNZJOn</t>
  </si>
  <si>
    <t>Koperasi Desa Merah Putih Pabelan</t>
  </si>
  <si>
    <t>26 Maret 2026</t>
  </si>
  <si>
    <t xml:space="preserve">1. Kapasitas aerator kurang memeadai, 2. Pemipaan udara kurang besar karena hanya selang kecil, 3. Batu aerasi kurang memadai, 4. Tidak ada DO meter dan pengukur amonia&amp;nitrit </t>
  </si>
  <si>
    <t>1. Mesin diganti super charger, 2. Pipa udara ke dalam kolam dierbesar menjadi 1", 3. Batu aerasi diganti selang uniring, 4. Pemberian DO meter, pengukur amina&amp;nitrit</t>
  </si>
  <si>
    <t>Koperasi Desa Merah Putih Menayu</t>
  </si>
  <si>
    <t xml:space="preserve">Belum panen masih pemeliharaan  rata rata ikan sekilo isi 10 - 20 </t>
  </si>
  <si>
    <t>Koperasi Desa Merah Putih Tratebang</t>
  </si>
  <si>
    <t>Pekalongan</t>
  </si>
  <si>
    <t>01 April - 05 April 2026</t>
  </si>
  <si>
    <t>Wonokerto</t>
  </si>
  <si>
    <t>belum</t>
  </si>
  <si>
    <t>Benih banyak yang rusak di awal penebaran (terserang jamur)</t>
  </si>
  <si>
    <t>Sudah membuat BA Kematian Ikan namun tidak ada tindak lanjut</t>
  </si>
  <si>
    <t>https://drive.google.com/drive/folders/1XJUfZBhMBQ4qW3Dla1cjoRkQQWJjQxLa?usp=sharing</t>
  </si>
  <si>
    <t>Koperasi Desa Merah Putih Sijambe</t>
  </si>
  <si>
    <t>14-19  Maret 2026</t>
  </si>
  <si>
    <t>27-31 Maret 2026</t>
  </si>
  <si>
    <t xml:space="preserve">Wonokerto </t>
  </si>
  <si>
    <t>SPPG Sijambe</t>
  </si>
  <si>
    <t>1,5</t>
  </si>
  <si>
    <t>Terdampak cuaca ekstrim dan Banjir sehingga sumber air rusak</t>
  </si>
  <si>
    <t>https://drive.google.com/drive/folders/1wRp6o9zG6FmCsXw3mjkNV7JU5Vp3uoNN?usp=sharing</t>
  </si>
  <si>
    <t>Koperasi Desa Merah Putih Tanggeran</t>
  </si>
  <si>
    <t>Koperasi Desa Merah Putih Timbang</t>
  </si>
  <si>
    <t>Purbalingga</t>
  </si>
  <si>
    <t>Belum pane, rencana panen di pemeliharaan setelah 4-5 bualn. Tebar benih di aminggu ke 4 Januari 2026</t>
  </si>
  <si>
    <t>Koperasi Desa Merah Putih Dukuhdungus</t>
  </si>
  <si>
    <t>Purworejo</t>
  </si>
  <si>
    <t>Belum panen, rencana Sabtu/Minggu ini 4 kolam</t>
  </si>
  <si>
    <t>Koperasi Desa Merah Putih Purwosari</t>
  </si>
  <si>
    <t>14-03-2026</t>
  </si>
  <si>
    <t>25-03-2026</t>
  </si>
  <si>
    <t>Awal Tebar paket 1,2,3 banyak yg mati.</t>
  </si>
  <si>
    <t>Sudah Membuat BA Kematian</t>
  </si>
  <si>
    <t>https://drive.google.com/drive/folders/1zH0sgt2XJSodvWFK0M2vwYVtHhBwpUo6?usp=drive_link</t>
  </si>
  <si>
    <t>Koperasi Desa Merah Putih Condongsari</t>
  </si>
  <si>
    <t>Koperasi Desa Merah Putih Kaliharjo</t>
  </si>
  <si>
    <t>15/4/2026</t>
  </si>
  <si>
    <t>25/4/2026</t>
  </si>
  <si>
    <t>28/4/2026</t>
  </si>
  <si>
    <t>https://drive.google.com/drive/folders/1xETEkPE3MFw25johgOMy_Bt9zdESAla3?usp=sharing</t>
  </si>
  <si>
    <t>Koperasi Desa Merah Putih Tuyuhan</t>
  </si>
  <si>
    <t>Rembang</t>
  </si>
  <si>
    <t>6-7 April 2026</t>
  </si>
  <si>
    <t>SPPG Sumbergirang</t>
  </si>
  <si>
    <t>1,1</t>
  </si>
  <si>
    <t>Tingkat kematian di awal Tebar, kurang lebih 7 Hari setelah tebar banyak kematian</t>
  </si>
  <si>
    <t>menerapkan sistem kocor sebagian kolam</t>
  </si>
  <si>
    <t>https://drive.google.com/drive/folders/17JV2rEUodHYiOhuOxzrVgXuz3lGnzyGi</t>
  </si>
  <si>
    <t>Direncanakan panen lagi minggu depan untuk SPPG dan yang lain</t>
  </si>
  <si>
    <t>Koperasi Kelurahan Merah Putih Kauman Kidul</t>
  </si>
  <si>
    <t>Salatiga</t>
  </si>
  <si>
    <t>Gunung Pati Semarang</t>
  </si>
  <si>
    <t>UD Dirandra</t>
  </si>
  <si>
    <t>51 %</t>
  </si>
  <si>
    <t>Penebaran benih tidak  sehat dan tidak seragam sehingga SR Minggu pertama awal tebar 85 %</t>
  </si>
  <si>
    <t>Untuk penebaran  selanjutnya mencari benih yang seragam dan sehat</t>
  </si>
  <si>
    <t>https://drive.google.com/drive/folders/14hNY_Xww91mTUvFDCZMEQxuI-Xzr97zW?usp=sharing</t>
  </si>
  <si>
    <t>Tanggal 16 April direncanakan ada penandatangan MoU dengan 2 Suplyer yang di fasilitasi oleh Dirjen PDSPKP dan rencana akan dihadiri oleh Direktur PDSPKP sekaligus panen tahap 2</t>
  </si>
  <si>
    <t>Koperasi Desa Merah Putih Bakalrejo</t>
  </si>
  <si>
    <t>Semarang</t>
  </si>
  <si>
    <t>parsial</t>
  </si>
  <si>
    <r>
      <rPr>
        <u/>
        <sz val="11"/>
        <color rgb="FF0563C1"/>
        <rFont val="Calibri"/>
      </rPr>
      <t xml:space="preserve">https://1drv.ms/i/c/261267ef553f725e/IQCibxDC9mIYRJN5p_CLYZwZAcs33sP0u7WjSX3ytqaaHgc?e=r2TEF6
</t>
    </r>
    <r>
      <rPr>
        <u/>
        <sz val="11"/>
        <color rgb="FF1155CC"/>
        <rFont val="Calibri"/>
      </rPr>
      <t>https://1drv.ms/v/c/261267ef553f725e/IQDcR5I5JSyjSL-ohVb7LGCpAalkOQWfzBsh2vbIXBDbXkU?e=BJmi7j</t>
    </r>
  </si>
  <si>
    <t>Koperasi Kelurahan Merah Putih Pringapus</t>
  </si>
  <si>
    <t>Koperasi Desa Merah Putih Dermasandi</t>
  </si>
  <si>
    <t>Tegal</t>
  </si>
  <si>
    <t>https://www.instagram.com/reel/DW_TpcqERwK/?igsh=em8yZXNnYXV0eGF2</t>
  </si>
  <si>
    <t>Koperasi Desa Merah Putih Kalisapu</t>
  </si>
  <si>
    <t>Belum panen, saat ini ikan berumur 64 hari dengan ukuran terbesar size 15-20</t>
  </si>
  <si>
    <t>Koperasi Desa Merah Putih Pedeslohor</t>
  </si>
  <si>
    <t>Koperasi Desa Merah Putih Kepatihan</t>
  </si>
  <si>
    <t>Wonoogiri</t>
  </si>
  <si>
    <t>Koperasi Desa Merah Putih Tegal Sari</t>
  </si>
  <si>
    <t>Banyuwangi</t>
  </si>
  <si>
    <t>Jawa Timur</t>
  </si>
  <si>
    <t>Koperasi Desa Merah Putih Bulukerto</t>
  </si>
  <si>
    <t>Batu</t>
  </si>
  <si>
    <t>Belum Panen belum panen karena Suhu rendah berkisar 16-20 sehingga pertumbuhan lambat, Cuaca Ekstrim disaat awal tebar (Januari dan Februari), nafsu makan ikan tidak stabil,</t>
  </si>
  <si>
    <t>Dilakukan pembuangan air kolam pagi hari (membuang kotoran didasar Kolam) secara rutin, mencampurkan vitamin pada Pakan, dan pengobatan pada ikan yang terkena jamur</t>
  </si>
  <si>
    <t>Koperasi Desa Merah Putih Mandesan</t>
  </si>
  <si>
    <t>Blitar</t>
  </si>
  <si>
    <t>24 MARET 2026</t>
  </si>
  <si>
    <t>27 Maret 2026</t>
  </si>
  <si>
    <t>1-26 April 2026</t>
  </si>
  <si>
    <t>Lokal dan SPPG Sekitar</t>
  </si>
  <si>
    <t>1,12</t>
  </si>
  <si>
    <t>Kematian 10.000 ekor pada awal tebar benih</t>
  </si>
  <si>
    <t>Koperasi Desa Merah Putih Ngreco</t>
  </si>
  <si>
    <t>Koperasi Desa Merah Putih Sawentar</t>
  </si>
  <si>
    <t>31 Maret 2026</t>
  </si>
  <si>
    <t>Malang</t>
  </si>
  <si>
    <t>1,25</t>
  </si>
  <si>
    <t xml:space="preserve">pompa bantuan KKP terlalu kecil jika d gunakan untuk budidaya 24 kolam
</t>
  </si>
  <si>
    <t>KDMP Sawentar membeli lomba sendiri</t>
  </si>
  <si>
    <t>https://drive.google.com/drive/folders/1GVwjmlKwS5VeNz7PlxwUZ5p8QLrr6pdd</t>
  </si>
  <si>
    <t>plan panen tahap 3</t>
  </si>
  <si>
    <t>Koperasi Kelurahan Merah Putih Rembang</t>
  </si>
  <si>
    <t>Kota Blitar</t>
  </si>
  <si>
    <t>rencana akan panen parsial 14 april</t>
  </si>
  <si>
    <t>Belum panen, target dan rencana panen parsial tgl 14 April</t>
  </si>
  <si>
    <t xml:space="preserve">https://drive.google.com/drive/folders/16J5yU0x1M3XDgDhDOP1qAua0WcYQuXam?usp=sharing </t>
  </si>
  <si>
    <t>Koperasi Desa Merah Putih Baureno</t>
  </si>
  <si>
    <t>Bojonegoro</t>
  </si>
  <si>
    <t>Banyak bibit ikan lele yang mati karena cacar, kumis patah, dan kembung</t>
  </si>
  <si>
    <t xml:space="preserve">Dengan pemberian mengkudu dan daun pepaya </t>
  </si>
  <si>
    <t>https://drive.google.com/file/d/1DhLPG7REjEan8ie4T0oUFcc-AUPN_t7E/view?usp=drive_link</t>
  </si>
  <si>
    <t>Koperasi Desa Merah Putih Kanor</t>
  </si>
  <si>
    <t>SPPG Nur Amanah 10</t>
  </si>
  <si>
    <t>Banyak benih yang mati karena cacar, kumis patah, kembung.</t>
  </si>
  <si>
    <t>Koperasi Desa Merah Putih Trotosari</t>
  </si>
  <si>
    <t>Bondowoso</t>
  </si>
  <si>
    <t>Koperasi Desa Merah Putih Beton</t>
  </si>
  <si>
    <t>Gresik</t>
  </si>
  <si>
    <t>Belum Panen dikarenakan pada awal penebaran bulan januari 2026 terdapat banyak kematian benih karena terkena penyakit, dan diisi bibit lagi sejumlah kamatianya dalam rentan waktu 2 minggu bibit pengganti yg mati di tebar serta perkembangan ikan melambat, diperkirakan panen secara parsial pada akhir april 2026 dan sekarang ini ukuran ikan variasi ada yg 1kg berisi 20-25 ekor ada yg 1 kg berisi 15-20 ekor.</t>
  </si>
  <si>
    <t>Koperasi Desa Merah Putih Kramat</t>
  </si>
  <si>
    <t>Koperasi Desa Merah Putih Nogosari</t>
  </si>
  <si>
    <t>Jember</t>
  </si>
  <si>
    <t>mortalitas tinggi di awal tebar benih (h+3 s/d h+6)</t>
  </si>
  <si>
    <t>memberikan anti bakteri dan vitamin pada pakan dan air</t>
  </si>
  <si>
    <t>https://ppid.jemberkab.go.id/berita/sukses-sistem-bioflok-panen-perdana-lele-kdmp-nogosari-jadi-contoh-pengembangan-usaha-perikanan-di-jember-20260403</t>
  </si>
  <si>
    <t xml:space="preserve">Banyak bibit ikan yang mati, terkena jamur cacar, kumis patah dan perut kembung </t>
  </si>
  <si>
    <t>Koperasi Kelurahan Merah Putih Bawang</t>
  </si>
  <si>
    <t>Kota Kediri</t>
  </si>
  <si>
    <t>6,7,8 April 2026</t>
  </si>
  <si>
    <t>Penebaran bibit tanggal 21 Januari 2026, dilakukan panen secara parsial karena pertumbuhan tidak sama. Belum bisa menentukan SR dan FCR karena belum dipanen seluruhnya</t>
  </si>
  <si>
    <t>Koperasi Kelurahan Merah Putih Pakistaji</t>
  </si>
  <si>
    <t>Kota Probolinggo</t>
  </si>
  <si>
    <t>Belum panen (Estimasi Panem Tgl 23 april 2026)</t>
  </si>
  <si>
    <t>Lokal  dan (mitra dengan SPPG)</t>
  </si>
  <si>
    <t>Penebaran akhir januari dan terkendala kematian pada 10 hari pertama sejak tebar, panen akan dilakukan  secara parsial pada minggu ketiga april 2026. Pada saat ini ukuran ikan variasi dengan size 10-25 per Kilo. (panen Parsial akan dilakukan  setiap 2 minggu sekali  dengan rata rata produksi  400 Kg per sekali panen</t>
  </si>
  <si>
    <t xml:space="preserve">monitoring pemberian pakan dan kualitas air, pendampingan 1 minggu sekali oleh Tim Kesehatan Ikan dari DInas </t>
  </si>
  <si>
    <t>https://www.instagram.com/p/DUGI0KUiUko/?igsh=MXR3b3JsazlodnBxcw==</t>
  </si>
  <si>
    <t>Koperasi Desa Merah Putih Latukan</t>
  </si>
  <si>
    <t>Lamongan</t>
  </si>
  <si>
    <t>Koperasi Desa Merah Putih Kebonsari</t>
  </si>
  <si>
    <t>Koperasi Desa Merah Putih Tambakploso</t>
  </si>
  <si>
    <t>15 Maret 2026</t>
  </si>
  <si>
    <t>Pertengahan APril 2026</t>
  </si>
  <si>
    <t>Kematian awal benih, setelah satu bulan Amoniaknya tinggi karena tidak maksimalnya biofloq</t>
  </si>
  <si>
    <t>Koperasi Desa Merah Putih Pangkatrejo</t>
  </si>
  <si>
    <t>Selalu mengikuti arahan dari Balai, melakukan penggantian air, memberikan vitamin pada pakan dan air</t>
  </si>
  <si>
    <t>https://drive.google.com/drive/folders/1uZe9ldT_EpyPIPWAdgm9pWGsCclt5eYL?usp=sharing</t>
  </si>
  <si>
    <t>Koperasi Desa Merah Putih Madurejo</t>
  </si>
  <si>
    <t>Lumajang</t>
  </si>
  <si>
    <t xml:space="preserve">Kematian benih pada masa awal pemeliharaan yang cukup banyak akibat terbatasnya pengetahuan SDM tentang bioflok, tidak ada operator khusus yang fokus menangani budidaya dan membutuhkan tambahan biaya tenaga kerja, keterbatasan modal untuk menambah pompa air yang berdampak pada pemenuhan kebutuhan air kolam yang kurang, modal KDMP tidak ada untuk biaya listrik untuk aerasi sehingga menggunakan sistem konvensional. </t>
  </si>
  <si>
    <t xml:space="preserve">Pemberian obat dan kontrol air, menggunakan dana pribadi ketua KDMP (untuk dipinjamkan) sehingga belum ada sisa hasil dari panen penjualan ikan </t>
  </si>
  <si>
    <t>https://drive.google.com/drive/folders/1myflzf9Uh3dJLD2UybLjicPPgsO0VBox?usp=sharing</t>
  </si>
  <si>
    <t>Koperasi Desa Merah Putih Ngale</t>
  </si>
  <si>
    <t>Madiun</t>
  </si>
  <si>
    <t>85 %</t>
  </si>
  <si>
    <t>1,13</t>
  </si>
  <si>
    <t>Pengobatan inroflox dan pengurangan pakan</t>
  </si>
  <si>
    <t>https://drive.google.com/drive/folders/1B4twLzGxSrhCvY7uVGaC39U0O4BEBFbW</t>
  </si>
  <si>
    <t>Koperasi Desa Merah Putih Buduran</t>
  </si>
  <si>
    <t>14 Maret</t>
  </si>
  <si>
    <t>24 Maret</t>
  </si>
  <si>
    <t>26 Maret</t>
  </si>
  <si>
    <t>29 Maret</t>
  </si>
  <si>
    <t>https://drive.google.com/file/d/17QNmEgh27sFenaRnOSWeaZUZQxzCjGX5/view?usp=sharing</t>
  </si>
  <si>
    <t>Koperasi Desa Merah Putih Luworo</t>
  </si>
  <si>
    <t>Ponorogo, Madiun</t>
  </si>
  <si>
    <t>29 Maret 2026</t>
  </si>
  <si>
    <t>Persiapan media awal pemeliharaan kurang optimal dikarenakan jarak penebaran terlalu mepet</t>
  </si>
  <si>
    <t>Sisa ikan di kolam sebanyak 455 kg</t>
  </si>
  <si>
    <t>https://drive.google.com/drive/folders/10-0uH7v2di6dLRSC1qAvMtHze-KQtE-R</t>
  </si>
  <si>
    <t>Koperasi Desa Merah Putih Garon</t>
  </si>
  <si>
    <t>Kematian benih di awal penebaran</t>
  </si>
  <si>
    <t>harusnya dalam paket bantuan diberikan obat-obatan juga</t>
  </si>
  <si>
    <t>https://drive.google.com/drive/folders/11WKAvJMxgd7V9s57XO-VsehNM1CFZt2U</t>
  </si>
  <si>
    <t>Koperasi Desa Merah Putih Balerejo</t>
  </si>
  <si>
    <t>Magetan</t>
  </si>
  <si>
    <t>Belum panen, saat ini ukuran 12-13 ekor/ kg</t>
  </si>
  <si>
    <t>Koperasi Kelurahan Merah Putih Tebon</t>
  </si>
  <si>
    <t>Koperasi Desa Merah Putih Mategal</t>
  </si>
  <si>
    <t>SPPG MBG</t>
  </si>
  <si>
    <t>Benih terserang penyakit di awal tebar dan saat ikan sudah dewasa</t>
  </si>
  <si>
    <t>Pengobatan dan penanganan penyakit</t>
  </si>
  <si>
    <t>https://drive.google.com/file/d/1akL80iXawUihscNj-TN_UvqjPU3YLMQO/view?usp=drive_linkk</t>
  </si>
  <si>
    <t>Koperasi Desa Merah Putih Prampelan</t>
  </si>
  <si>
    <t>belum panen baru tebar 16 January 2026</t>
  </si>
  <si>
    <t>Koperasi Desa Merah Putih Gempolkerep</t>
  </si>
  <si>
    <t>Mojokerto</t>
  </si>
  <si>
    <t>20 Maret 2026</t>
  </si>
  <si>
    <t>Lokal, Jombang</t>
  </si>
  <si>
    <t>Lokal, Bangkalan</t>
  </si>
  <si>
    <t>Jombang, Madura</t>
  </si>
  <si>
    <t>Lokal, Jombang, Madura</t>
  </si>
  <si>
    <t>Kualitas bibit ikan kurang bagus karena setelah penebaran terjadi banyaknya kematian pada benih ikan, Suplay oksigen yang dihasilkan dari aerator ke dalam kolam kurang sehingga pertumbuhan bakteri pembentuk flok tidak optimal disaat ikan sudah usia dewasa (tidak dapat suplay oksigen yang cukup sehingga ikan seringkali berjejer diatas permukaan)</t>
  </si>
  <si>
    <t xml:space="preserve">Menambahkan aerator dan titik aerasi untuk suplay oksigen ke dalam kolam </t>
  </si>
  <si>
    <t>Koperasi Desa Merah Putih Ngimbangan</t>
  </si>
  <si>
    <t>18 Maret 2026</t>
  </si>
  <si>
    <t>Lokal, Sidoarjo</t>
  </si>
  <si>
    <t>23 Maret 2026</t>
  </si>
  <si>
    <t xml:space="preserve">Kualitas bibit kurang bagus dan pompa air tidak susuai karena air yang dikeluarkan terlalu pelan dan tidak mampu untuk mencukupi banyak kolam </t>
  </si>
  <si>
    <t>Ganti pompa modif dan pembuatan saluran pembuangan atau rumah untuk stop kran</t>
  </si>
  <si>
    <t>Koperasi Desa Merah Putih Ngastemi</t>
  </si>
  <si>
    <t>Koperasi Desa Merah Putih Klurahan</t>
  </si>
  <si>
    <t>Nganjuk</t>
  </si>
  <si>
    <t>10 Januari 2026</t>
  </si>
  <si>
    <t>Koperasi Desa Merah Putih Ngadiboyo</t>
  </si>
  <si>
    <t xml:space="preserve">sempat terkendala air yang semula sudah Kesepakan dengan pemilik sumber air berubah jadi tidak boleh </t>
  </si>
  <si>
    <t xml:space="preserve">membuat sumur bor baru,pemberian pakan sementara dikurangi agar tidak terjaadi endapan pakan dan air kolam keruh tetapi akibatnya perkembangan ikan tidak maksimal </t>
  </si>
  <si>
    <t>https://drive.google.com/drive/folders/1pZY5phLD1VS_Iq5WtRJcE8O21quJpW6i?usp=sharing</t>
  </si>
  <si>
    <t xml:space="preserve">Ikan yang dipindah dikembalikan ke kolam masing masing dengan dihitung ulang jumlahnya sehingga bisa memberikan pakan dengan preentasi  sesuai berat ikan dalam kolam </t>
  </si>
  <si>
    <t>Koperasi Desa Merah Putih Jagir</t>
  </si>
  <si>
    <t>Ngawi</t>
  </si>
  <si>
    <t>5 Mei 2026</t>
  </si>
  <si>
    <t>9 Mei 2026</t>
  </si>
  <si>
    <t>belum panen karena tebar benih bawu awal februari, saat ini pakan sudah mendekati expired</t>
  </si>
  <si>
    <t>Apakah pakan yg expired dapat diganti pakan baru oleh penyedia atau bagaimana?</t>
  </si>
  <si>
    <t>Koperasi Desa Merah Putih Kauman</t>
  </si>
  <si>
    <t>16 Maret 2026</t>
  </si>
  <si>
    <t>Sragen, Solo</t>
  </si>
  <si>
    <t>Sragen Solo</t>
  </si>
  <si>
    <t>Solo</t>
  </si>
  <si>
    <t>1,19</t>
  </si>
  <si>
    <t>https://drive.google.com/drive/folders/1fys4r-7lSgzbb3BqmVFjVqJ3lg8K87EY?usp=sharing</t>
  </si>
  <si>
    <t>Koperasi Desa Merah Putih Tempuran</t>
  </si>
  <si>
    <t>30 Maret 2026</t>
  </si>
  <si>
    <t xml:space="preserve">Masih ada sisa pakan tp expired bulan April 2026, Tekanan Aerator Kurang Besar Jika menggunakan sistem bioflok, </t>
  </si>
  <si>
    <t>Saran sisa pakan yang expired bisa di tukar pakan baru, bisa menambah aerator karena tekanan kurang maksimal 1 aerator untuk 4 kolam pengadukannya tidak merata untuk sistem bioflok</t>
  </si>
  <si>
    <t>https://drive.google.com/drive/folders/1caE9C_tePyIAaO3KKLTPJtXo5SPE_qhk</t>
  </si>
  <si>
    <t>belum menghitung FCR dan SR karena Sisa Ikan di kolam masih banyak</t>
  </si>
  <si>
    <t>Koperasi Desa Merah Putih Sooka</t>
  </si>
  <si>
    <t>Pacitan</t>
  </si>
  <si>
    <t>Belum panen. Tebar benih 4 Februari 2026. Saat ini ukur per kg isi 30 ekor.</t>
  </si>
  <si>
    <t>LAMPIRAN DOKUMENTASI KEGIATAN.pdf</t>
  </si>
  <si>
    <t>Koperasi Desa Merah Putih Plancungan</t>
  </si>
  <si>
    <t>Ponorogo</t>
  </si>
  <si>
    <t>Belum panen. Tebar benih 17 Januari 2026. Saat ini ukur per kg isi 15 - 25 ekor. Rencana mulai panen 19 April 2026</t>
  </si>
  <si>
    <t>belum panen, saat ini ukuran ikan 15-20 ekor/kg</t>
  </si>
  <si>
    <t>Koperasi Desa Merah Putih Ngloning</t>
  </si>
  <si>
    <t>belum panen terkendala penyakit sehingga pertumbuhan terhambat</t>
  </si>
  <si>
    <t>Koperasi Desa Merah Putih Kebonagung</t>
  </si>
  <si>
    <t>Probolinggo</t>
  </si>
  <si>
    <t>Belum panen. Tebar benih 19 Januari 2026. Saat ini ukur per kg isi 7 - 8 ekor</t>
  </si>
  <si>
    <t>Belum panen. Estimasi Panen Bulan Akhir April 2026</t>
  </si>
  <si>
    <t>Koperasi Desa Merah Putih Pokaan</t>
  </si>
  <si>
    <t>Situbondo</t>
  </si>
  <si>
    <t>Koperasi Desa Merah Putih Olean</t>
  </si>
  <si>
    <t>Maret 2026</t>
  </si>
  <si>
    <t>pada awal penebaran terdapat banyak kematian benih. Beberapa pakan sudah berjamur</t>
  </si>
  <si>
    <t>Koperasi Desa Merah Putih Krajan Timur Sumberkolak</t>
  </si>
  <si>
    <t>Koperasi Desa Merah Putih Jabalsari</t>
  </si>
  <si>
    <t>Tulungagung</t>
  </si>
  <si>
    <t xml:space="preserve">15 maret 2026 </t>
  </si>
  <si>
    <t>67 %</t>
  </si>
  <si>
    <t>0,06</t>
  </si>
  <si>
    <t>ada tingkat kematian yang banyak. airasi tidak terkendali, pompa air bawaan tidak optimal  pegatian air sangat lama,</t>
  </si>
  <si>
    <t>pompakah bisa diganti pompa airnya.?</t>
  </si>
  <si>
    <t>https://drive.google.com/drive/folders/1onV5KqJn8s6GuezGavGTwlqRS_uyzAdc</t>
  </si>
  <si>
    <t>Koperasi Desa Merah Putih Boyolangu</t>
  </si>
  <si>
    <t>09 Maret 2026</t>
  </si>
  <si>
    <t>https://drive.google.com/drive/folders/1bWQXHYbmRcgyyjJyFhuekKesmvsjVTgH?usp=sharing</t>
  </si>
  <si>
    <t>Koperasi Desa Merah Putih Bolorejo</t>
  </si>
  <si>
    <t>4 maret 2026</t>
  </si>
  <si>
    <t>https://drive.google.com/drive/folders/1a37yPFVmMyTrNYK5m0Atz6jOcyTxAlhq</t>
  </si>
  <si>
    <t>Koperasi Kelurahan Merah Putih Gadingsari</t>
  </si>
  <si>
    <t>Bantul</t>
  </si>
  <si>
    <t>Yogyakarta</t>
  </si>
  <si>
    <t>Koperasi Kelurahan Merah Putih Argomulyo</t>
  </si>
  <si>
    <t>Koperasi Desa Merah Putih Karangrejek</t>
  </si>
  <si>
    <t>Gunung Kidul</t>
  </si>
  <si>
    <t>Lokal &amp; SPPG</t>
  </si>
  <si>
    <t>5 &amp; 6 April 2026</t>
  </si>
  <si>
    <t>Koperasi Desa Merah Putih Genjahan</t>
  </si>
  <si>
    <t>Koperasi Desa Merah Putih Banaran</t>
  </si>
  <si>
    <t>Kulonprogo</t>
  </si>
  <si>
    <t>Koperasi Kelurahan Merah Putih Sidoarum</t>
  </si>
  <si>
    <t>Sleman</t>
  </si>
  <si>
    <t>Koperasi Desa Merah Putih Tamanmartani</t>
  </si>
  <si>
    <t>Total Volume Panen (Kg)</t>
  </si>
  <si>
    <t>Total Nilai Panen (Rp)</t>
  </si>
  <si>
    <t>Rata-rata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</si>
</sst>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d\ mmmm\ yyyy"/>
    <numFmt numFmtId="165" formatCode="m\-d\-yyyy"/>
    <numFmt numFmtId="166" formatCode="d\ mmmm"/>
    <numFmt numFmtId="167" formatCode="dd\ mmmm\ yyyy"/>
    <numFmt numFmtId="168" formatCode="mm\-dd\-yyyy"/>
    <numFmt numFmtId="169" formatCode="#,##0.00;\(#,##0.00\)"/>
    <numFmt numFmtId="170" formatCode="mm/dd/yyyy"/>
    <numFmt numFmtId="172" formatCode="0.0"/>
    <numFmt numFmtId="173" formatCode="_(* #,##0.0_);_(* \(#,##0.0\);_(* &quot;-&quot;??_);_(@_)"/>
    <numFmt numFmtId="174" formatCode="_(* #,##0_);_(* \(#,##0\);_(* &quot;-&quot;??_);_(@_)"/>
  </numFmts>
  <fonts count="26" x14ac:knownFonts="1">
    <font>
      <sz val="11"/>
      <color rgb="FF000000"/>
      <name val="Calibri"/>
      <scheme val="minor"/>
    </font>
    <font>
      <sz val="11"/>
      <color rgb="FF000000"/>
      <name val="Calibri"/>
    </font>
    <font>
      <sz val="10"/>
      <color rgb="FF000000"/>
      <name val="Calibri"/>
    </font>
    <font>
      <b/>
      <sz val="11"/>
      <color rgb="FF000000"/>
      <name val="Calibri"/>
    </font>
    <font>
      <b/>
      <sz val="10"/>
      <color rgb="FF000000"/>
      <name val="Calibri"/>
    </font>
    <font>
      <sz val="11"/>
      <name val="Calibri"/>
    </font>
    <font>
      <sz val="11"/>
      <color rgb="FF000000"/>
      <name val="Arial"/>
    </font>
    <font>
      <sz val="10"/>
      <color rgb="FF000000"/>
      <name val="Arial"/>
    </font>
    <font>
      <u/>
      <sz val="11"/>
      <color rgb="FF000000"/>
      <name val="Calibri"/>
    </font>
    <font>
      <u/>
      <sz val="11"/>
      <color rgb="FF000000"/>
      <name val="Calibri"/>
    </font>
    <font>
      <u/>
      <sz val="11"/>
      <color rgb="FF0000FF"/>
      <name val="Calibri"/>
    </font>
    <font>
      <u/>
      <sz val="11"/>
      <color rgb="FF000000"/>
      <name val="Calibri"/>
    </font>
    <font>
      <u/>
      <sz val="11"/>
      <color rgb="FF0563C1"/>
      <name val="Calibri"/>
    </font>
    <font>
      <u/>
      <sz val="11"/>
      <color rgb="FF0563C1"/>
      <name val="Calibri"/>
    </font>
    <font>
      <u/>
      <sz val="11"/>
      <color rgb="FF0000FF"/>
      <name val="Calibri"/>
    </font>
    <font>
      <sz val="11"/>
      <color theme="1"/>
      <name val="Calibri"/>
    </font>
    <font>
      <u/>
      <sz val="11"/>
      <color rgb="FF0000FF"/>
      <name val="Calibri"/>
    </font>
    <font>
      <u/>
      <sz val="11"/>
      <color rgb="FF000000"/>
      <name val="Calibri"/>
    </font>
    <font>
      <sz val="11"/>
      <color rgb="FF434343"/>
      <name val="Arial"/>
    </font>
    <font>
      <sz val="11"/>
      <color theme="1"/>
      <name val="Calibri"/>
      <scheme val="minor"/>
    </font>
    <font>
      <u/>
      <sz val="11"/>
      <color rgb="FF0563C1"/>
      <name val="Calibri"/>
    </font>
    <font>
      <u/>
      <sz val="11"/>
      <color rgb="FF1155CC"/>
      <name val="Calibri"/>
    </font>
    <font>
      <sz val="11"/>
      <color rgb="FF000000"/>
      <name val="Calibri"/>
      <scheme val="minor"/>
    </font>
    <font>
      <b/>
      <sz val="11"/>
      <name val="Calibri"/>
      <family val="2"/>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s>
  <cellStyleXfs count="2">
    <xf numFmtId="0" fontId="0" fillId="0" borderId="0"/>
    <xf numFmtId="43" fontId="22" fillId="0" borderId="0" applyFont="0" applyFill="0" applyBorder="0" applyAlignment="0" applyProtection="0"/>
  </cellStyleXfs>
  <cellXfs count="112">
    <xf numFmtId="0" fontId="0" fillId="0" borderId="0" xfId="0" applyAlignment="1">
      <alignment vertical="center"/>
    </xf>
    <xf numFmtId="0" fontId="1" fillId="0" borderId="0" xfId="0" applyFont="1" applyAlignment="1">
      <alignment vertical="center" wrapText="1"/>
    </xf>
    <xf numFmtId="0" fontId="2" fillId="0" borderId="0" xfId="0" applyFont="1"/>
    <xf numFmtId="0" fontId="1" fillId="0" borderId="0" xfId="0" applyFont="1" applyAlignment="1">
      <alignment horizontal="left" vertical="center" wrapText="1"/>
    </xf>
    <xf numFmtId="1" fontId="1" fillId="0" borderId="0" xfId="0" applyNumberFormat="1" applyFont="1" applyAlignment="1">
      <alignment horizontal="center" vertical="center"/>
    </xf>
    <xf numFmtId="3" fontId="1" fillId="0" borderId="0" xfId="0" applyNumberFormat="1"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left" vertical="center" wrapText="1"/>
    </xf>
    <xf numFmtId="1" fontId="3" fillId="0" borderId="5" xfId="0" applyNumberFormat="1" applyFont="1" applyBorder="1" applyAlignment="1">
      <alignment horizontal="left" vertical="center" wrapText="1"/>
    </xf>
    <xf numFmtId="3" fontId="3" fillId="0" borderId="5" xfId="0" applyNumberFormat="1" applyFont="1" applyBorder="1" applyAlignment="1">
      <alignment horizontal="left" vertical="center" wrapText="1"/>
    </xf>
    <xf numFmtId="0" fontId="3" fillId="0" borderId="0" xfId="0" applyFont="1" applyAlignment="1">
      <alignment horizontal="left" vertical="center" wrapText="1"/>
    </xf>
    <xf numFmtId="0" fontId="6" fillId="0" borderId="5" xfId="0" applyFont="1" applyBorder="1" applyAlignment="1">
      <alignment horizontal="center" vertical="top"/>
    </xf>
    <xf numFmtId="0" fontId="6" fillId="2" borderId="5" xfId="0" applyFont="1" applyFill="1" applyBorder="1" applyAlignment="1">
      <alignment horizontal="left" vertical="top"/>
    </xf>
    <xf numFmtId="0" fontId="6" fillId="0" borderId="5" xfId="0" applyFont="1" applyBorder="1" applyAlignment="1">
      <alignment horizontal="center" vertical="top" wrapText="1"/>
    </xf>
    <xf numFmtId="0" fontId="7" fillId="0" borderId="5" xfId="0" applyFont="1" applyBorder="1" applyAlignment="1">
      <alignment horizontal="center" vertical="top"/>
    </xf>
    <xf numFmtId="0" fontId="1" fillId="0" borderId="5" xfId="0" applyFont="1" applyBorder="1" applyAlignment="1">
      <alignment horizontal="left" vertical="top" wrapText="1"/>
    </xf>
    <xf numFmtId="0" fontId="1" fillId="0" borderId="5" xfId="0" applyFont="1" applyBorder="1" applyAlignment="1">
      <alignment horizontal="center" vertical="top" wrapText="1"/>
    </xf>
    <xf numFmtId="0" fontId="1" fillId="0" borderId="5" xfId="0" applyFont="1" applyBorder="1" applyAlignment="1">
      <alignment horizontal="center" vertical="top"/>
    </xf>
    <xf numFmtId="3" fontId="1" fillId="0" borderId="5" xfId="0" applyNumberFormat="1" applyFont="1" applyBorder="1" applyAlignment="1">
      <alignment horizontal="center" vertical="top"/>
    </xf>
    <xf numFmtId="0" fontId="1" fillId="0" borderId="5" xfId="0" applyFont="1" applyBorder="1" applyAlignment="1">
      <alignment vertical="top" wrapText="1"/>
    </xf>
    <xf numFmtId="0" fontId="1" fillId="0" borderId="5" xfId="0" applyFont="1" applyBorder="1" applyAlignment="1">
      <alignment vertical="center"/>
    </xf>
    <xf numFmtId="1" fontId="1" fillId="0" borderId="5" xfId="0" applyNumberFormat="1" applyFont="1" applyBorder="1" applyAlignment="1">
      <alignment horizontal="center" vertical="top"/>
    </xf>
    <xf numFmtId="3" fontId="1" fillId="0" borderId="5" xfId="0" applyNumberFormat="1" applyFont="1" applyBorder="1" applyAlignment="1">
      <alignment horizontal="right" vertical="top"/>
    </xf>
    <xf numFmtId="3" fontId="3" fillId="0" borderId="5" xfId="0" applyNumberFormat="1" applyFont="1" applyBorder="1" applyAlignment="1">
      <alignment horizontal="center" vertical="top"/>
    </xf>
    <xf numFmtId="0" fontId="6" fillId="2" borderId="5" xfId="0" applyFont="1" applyFill="1" applyBorder="1" applyAlignment="1">
      <alignment horizontal="center" vertical="top" wrapText="1"/>
    </xf>
    <xf numFmtId="0" fontId="6" fillId="2" borderId="5" xfId="0" applyFont="1" applyFill="1" applyBorder="1" applyAlignment="1">
      <alignment horizontal="center" vertical="top"/>
    </xf>
    <xf numFmtId="0" fontId="7" fillId="2" borderId="5" xfId="0" applyFont="1" applyFill="1" applyBorder="1" applyAlignment="1">
      <alignment horizontal="center" vertical="top"/>
    </xf>
    <xf numFmtId="164" fontId="1" fillId="0" borderId="5" xfId="0" applyNumberFormat="1" applyFont="1" applyBorder="1" applyAlignment="1">
      <alignment horizontal="left" vertical="top" wrapText="1"/>
    </xf>
    <xf numFmtId="164" fontId="1" fillId="0" borderId="5" xfId="0" applyNumberFormat="1" applyFont="1" applyBorder="1" applyAlignment="1">
      <alignment horizontal="center" vertical="top" wrapText="1"/>
    </xf>
    <xf numFmtId="0" fontId="1" fillId="0" borderId="5" xfId="0" applyFont="1" applyBorder="1" applyAlignment="1">
      <alignment horizontal="left" wrapText="1"/>
    </xf>
    <xf numFmtId="1" fontId="1" fillId="0" borderId="5" xfId="0" quotePrefix="1" applyNumberFormat="1" applyFont="1" applyBorder="1" applyAlignment="1">
      <alignment horizontal="center" vertical="top"/>
    </xf>
    <xf numFmtId="3" fontId="1" fillId="0" borderId="5" xfId="0" quotePrefix="1" applyNumberFormat="1" applyFont="1" applyBorder="1" applyAlignment="1">
      <alignment horizontal="right" vertical="top"/>
    </xf>
    <xf numFmtId="0" fontId="1" fillId="0" borderId="5" xfId="0" quotePrefix="1" applyFont="1" applyBorder="1" applyAlignment="1">
      <alignment horizontal="center" vertical="top" wrapText="1"/>
    </xf>
    <xf numFmtId="0" fontId="1" fillId="0" borderId="5" xfId="0" quotePrefix="1" applyFont="1" applyBorder="1" applyAlignment="1">
      <alignment horizontal="center" vertical="top"/>
    </xf>
    <xf numFmtId="3" fontId="1" fillId="0" borderId="5" xfId="0" quotePrefix="1" applyNumberFormat="1" applyFont="1" applyBorder="1" applyAlignment="1">
      <alignment horizontal="center" vertical="top"/>
    </xf>
    <xf numFmtId="0" fontId="8" fillId="0" borderId="5" xfId="0" applyFont="1" applyBorder="1" applyAlignment="1">
      <alignment vertical="top" wrapText="1"/>
    </xf>
    <xf numFmtId="0" fontId="9" fillId="0" borderId="5" xfId="0" applyFont="1" applyBorder="1" applyAlignment="1">
      <alignment vertical="top" wrapText="1"/>
    </xf>
    <xf numFmtId="0" fontId="1" fillId="0" borderId="5" xfId="0" applyFont="1" applyBorder="1" applyAlignment="1">
      <alignment vertical="center" wrapText="1"/>
    </xf>
    <xf numFmtId="9" fontId="1" fillId="0" borderId="5" xfId="0" applyNumberFormat="1" applyFont="1" applyBorder="1" applyAlignment="1">
      <alignment horizontal="center" vertical="top"/>
    </xf>
    <xf numFmtId="165" fontId="1" fillId="0" borderId="5" xfId="0" applyNumberFormat="1" applyFont="1" applyBorder="1" applyAlignment="1">
      <alignment horizontal="center" vertical="top" wrapText="1"/>
    </xf>
    <xf numFmtId="0" fontId="10" fillId="0" borderId="5" xfId="0" applyFont="1" applyBorder="1" applyAlignment="1">
      <alignment vertical="top" wrapText="1"/>
    </xf>
    <xf numFmtId="0" fontId="11" fillId="0" borderId="5" xfId="0" applyFont="1" applyBorder="1" applyAlignment="1">
      <alignment vertical="top" wrapText="1"/>
    </xf>
    <xf numFmtId="166" fontId="1" fillId="0" borderId="5" xfId="0" applyNumberFormat="1" applyFont="1" applyBorder="1" applyAlignment="1">
      <alignment horizontal="center" vertical="top"/>
    </xf>
    <xf numFmtId="164" fontId="1" fillId="0" borderId="5" xfId="0" applyNumberFormat="1" applyFont="1" applyBorder="1" applyAlignment="1">
      <alignment horizontal="center" vertical="top"/>
    </xf>
    <xf numFmtId="0" fontId="12" fillId="0" borderId="5" xfId="0" applyFont="1" applyBorder="1" applyAlignment="1">
      <alignment vertical="top" wrapText="1"/>
    </xf>
    <xf numFmtId="165" fontId="1" fillId="0" borderId="5" xfId="0" applyNumberFormat="1" applyFont="1" applyBorder="1" applyAlignment="1">
      <alignment horizontal="center" vertical="top"/>
    </xf>
    <xf numFmtId="14" fontId="1" fillId="0" borderId="5" xfId="0" applyNumberFormat="1" applyFont="1" applyBorder="1" applyAlignment="1">
      <alignment horizontal="center" vertical="top"/>
    </xf>
    <xf numFmtId="0" fontId="13" fillId="0" borderId="5" xfId="0" applyFont="1" applyBorder="1" applyAlignment="1">
      <alignment vertical="top" wrapText="1"/>
    </xf>
    <xf numFmtId="167" fontId="1" fillId="0" borderId="5" xfId="0" applyNumberFormat="1" applyFont="1" applyBorder="1" applyAlignment="1">
      <alignment horizontal="center" vertical="top"/>
    </xf>
    <xf numFmtId="168" fontId="1" fillId="0" borderId="5" xfId="0" applyNumberFormat="1" applyFont="1" applyBorder="1" applyAlignment="1">
      <alignment horizontal="center" vertical="top"/>
    </xf>
    <xf numFmtId="169" fontId="1" fillId="0" borderId="5" xfId="0" applyNumberFormat="1" applyFont="1" applyBorder="1" applyAlignment="1">
      <alignment horizontal="center" vertical="top"/>
    </xf>
    <xf numFmtId="168" fontId="1" fillId="0" borderId="5" xfId="0" applyNumberFormat="1" applyFont="1" applyBorder="1" applyAlignment="1">
      <alignment horizontal="center" vertical="top" wrapText="1"/>
    </xf>
    <xf numFmtId="0" fontId="1" fillId="0" borderId="5" xfId="0" applyFont="1" applyBorder="1" applyAlignment="1">
      <alignment wrapText="1"/>
    </xf>
    <xf numFmtId="170" fontId="1" fillId="0" borderId="5" xfId="0" applyNumberFormat="1" applyFont="1" applyBorder="1" applyAlignment="1">
      <alignment horizontal="center" vertical="top" wrapText="1"/>
    </xf>
    <xf numFmtId="0" fontId="14" fillId="0" borderId="5" xfId="0" applyFont="1" applyBorder="1" applyAlignment="1">
      <alignment vertical="top" wrapText="1"/>
    </xf>
    <xf numFmtId="0" fontId="15" fillId="0" borderId="5" xfId="0" applyFont="1" applyBorder="1" applyAlignment="1">
      <alignment vertical="top" wrapText="1"/>
    </xf>
    <xf numFmtId="0" fontId="16" fillId="0" borderId="5" xfId="0" applyFont="1" applyBorder="1" applyAlignment="1">
      <alignment vertical="top" wrapText="1"/>
    </xf>
    <xf numFmtId="0" fontId="1" fillId="0" borderId="5" xfId="0" applyFont="1" applyBorder="1" applyAlignment="1">
      <alignment horizontal="right" vertical="top" wrapText="1"/>
    </xf>
    <xf numFmtId="0" fontId="17" fillId="0" borderId="5" xfId="0" applyFont="1" applyBorder="1" applyAlignment="1">
      <alignment vertical="center" wrapText="1"/>
    </xf>
    <xf numFmtId="164" fontId="1" fillId="0" borderId="0" xfId="0" applyNumberFormat="1" applyFont="1" applyAlignment="1">
      <alignment horizontal="center" vertical="top" wrapText="1"/>
    </xf>
    <xf numFmtId="167" fontId="1" fillId="0" borderId="5" xfId="0" applyNumberFormat="1" applyFont="1" applyBorder="1" applyAlignment="1">
      <alignment horizontal="center" vertical="top" wrapText="1"/>
    </xf>
    <xf numFmtId="0" fontId="18" fillId="0" borderId="5" xfId="0" applyFont="1" applyBorder="1" applyAlignment="1">
      <alignment horizontal="center" vertical="top" wrapText="1"/>
    </xf>
    <xf numFmtId="0" fontId="18" fillId="0" borderId="5" xfId="0" applyFont="1" applyBorder="1" applyAlignment="1">
      <alignment horizontal="center" vertical="top"/>
    </xf>
    <xf numFmtId="0" fontId="1" fillId="0" borderId="5" xfId="0" applyFont="1" applyBorder="1" applyAlignment="1">
      <alignment vertical="top"/>
    </xf>
    <xf numFmtId="166" fontId="1" fillId="0" borderId="5" xfId="0" applyNumberFormat="1" applyFont="1" applyBorder="1" applyAlignment="1">
      <alignment horizontal="right" vertical="top" wrapText="1"/>
    </xf>
    <xf numFmtId="3" fontId="1" fillId="0" borderId="5" xfId="0" applyNumberFormat="1" applyFont="1" applyBorder="1" applyAlignment="1">
      <alignment horizontal="center" vertical="top" wrapText="1"/>
    </xf>
    <xf numFmtId="0" fontId="19" fillId="0" borderId="0" xfId="0" applyFont="1" applyAlignment="1">
      <alignment horizontal="left" vertical="center"/>
    </xf>
    <xf numFmtId="0" fontId="20" fillId="0" borderId="0" xfId="0" applyFont="1" applyAlignment="1">
      <alignment wrapText="1"/>
    </xf>
    <xf numFmtId="164" fontId="19" fillId="0" borderId="5" xfId="0" applyNumberFormat="1" applyFont="1" applyBorder="1" applyAlignment="1">
      <alignment horizontal="center" vertical="center"/>
    </xf>
    <xf numFmtId="0" fontId="19" fillId="0" borderId="5" xfId="0" applyFont="1" applyBorder="1" applyAlignment="1">
      <alignment horizontal="center" vertical="center"/>
    </xf>
    <xf numFmtId="3" fontId="19" fillId="0" borderId="5" xfId="0" applyNumberFormat="1" applyFont="1" applyBorder="1" applyAlignment="1">
      <alignment horizontal="right" vertical="center"/>
    </xf>
    <xf numFmtId="0" fontId="19" fillId="0" borderId="0" xfId="0" applyFont="1" applyAlignment="1">
      <alignment horizontal="center" vertical="center"/>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1" fillId="0" borderId="0" xfId="0" applyFont="1" applyAlignment="1">
      <alignment horizontal="left" vertical="top" wrapText="1"/>
    </xf>
    <xf numFmtId="1" fontId="1" fillId="0" borderId="0" xfId="0" applyNumberFormat="1" applyFont="1" applyAlignment="1">
      <alignment horizontal="center" vertical="top"/>
    </xf>
    <xf numFmtId="3" fontId="1" fillId="0" borderId="0" xfId="0" applyNumberFormat="1" applyFont="1" applyAlignment="1">
      <alignment horizontal="center" vertical="top"/>
    </xf>
    <xf numFmtId="0" fontId="1" fillId="0" borderId="0" xfId="0" applyFont="1" applyAlignment="1">
      <alignment horizontal="center" vertical="top" wrapText="1"/>
    </xf>
    <xf numFmtId="0" fontId="1" fillId="0" borderId="0" xfId="0" applyFont="1" applyAlignment="1">
      <alignment horizontal="center" vertical="top"/>
    </xf>
    <xf numFmtId="0" fontId="3" fillId="0" borderId="1" xfId="0" applyFont="1" applyBorder="1" applyAlignment="1">
      <alignment horizontal="center" vertical="center" wrapText="1"/>
    </xf>
    <xf numFmtId="0" fontId="5" fillId="0" borderId="6" xfId="0" applyFont="1" applyBorder="1" applyAlignment="1">
      <alignment vertical="center"/>
    </xf>
    <xf numFmtId="0" fontId="4" fillId="0" borderId="1" xfId="0" applyFont="1" applyBorder="1" applyAlignment="1">
      <alignment horizontal="center" vertical="center" wrapText="1"/>
    </xf>
    <xf numFmtId="0" fontId="3" fillId="0" borderId="2" xfId="0" applyFont="1" applyBorder="1" applyAlignment="1">
      <alignment horizontal="center" vertical="center" wrapText="1"/>
    </xf>
    <xf numFmtId="0" fontId="5" fillId="0" borderId="3" xfId="0" applyFont="1" applyBorder="1" applyAlignment="1">
      <alignment vertical="center"/>
    </xf>
    <xf numFmtId="0" fontId="5" fillId="0" borderId="4" xfId="0" applyFont="1" applyBorder="1" applyAlignme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3" fillId="0" borderId="1" xfId="0" applyFont="1" applyBorder="1" applyAlignment="1">
      <alignment horizontal="center" vertical="center" wrapText="1"/>
    </xf>
    <xf numFmtId="0" fontId="23" fillId="0" borderId="6" xfId="0" applyFont="1" applyBorder="1" applyAlignment="1">
      <alignment horizontal="center" vertical="center" wrapText="1"/>
    </xf>
    <xf numFmtId="0" fontId="1" fillId="0" borderId="5" xfId="0" applyNumberFormat="1" applyFont="1" applyBorder="1" applyAlignment="1">
      <alignment horizontal="center" vertical="top"/>
    </xf>
    <xf numFmtId="172" fontId="1" fillId="0" borderId="5" xfId="0" applyNumberFormat="1" applyFont="1" applyBorder="1" applyAlignment="1">
      <alignment horizontal="center" vertical="top"/>
    </xf>
    <xf numFmtId="173" fontId="1" fillId="0" borderId="5" xfId="1" applyNumberFormat="1" applyFont="1" applyBorder="1" applyAlignment="1">
      <alignment horizontal="center" vertical="top"/>
    </xf>
    <xf numFmtId="173" fontId="19" fillId="0" borderId="5" xfId="1" applyNumberFormat="1" applyFont="1" applyBorder="1" applyAlignment="1">
      <alignment horizontal="center" vertical="center"/>
    </xf>
    <xf numFmtId="174" fontId="1" fillId="0" borderId="5" xfId="1" applyNumberFormat="1" applyFont="1" applyBorder="1" applyAlignment="1">
      <alignment horizontal="center" vertical="top"/>
    </xf>
    <xf numFmtId="174" fontId="24" fillId="0" borderId="5" xfId="1" applyNumberFormat="1" applyFont="1" applyBorder="1" applyAlignment="1">
      <alignment horizontal="center" vertical="top"/>
    </xf>
    <xf numFmtId="174" fontId="1" fillId="0" borderId="5" xfId="1" quotePrefix="1" applyNumberFormat="1" applyFont="1" applyBorder="1" applyAlignment="1">
      <alignment horizontal="center" vertical="top"/>
    </xf>
    <xf numFmtId="174" fontId="1" fillId="0" borderId="5" xfId="1" applyNumberFormat="1" applyFont="1" applyBorder="1" applyAlignment="1">
      <alignment horizontal="right" vertical="top"/>
    </xf>
    <xf numFmtId="0" fontId="25" fillId="3" borderId="7" xfId="0" applyFont="1" applyFill="1" applyBorder="1" applyAlignment="1">
      <alignment horizontal="center" vertical="top"/>
    </xf>
    <xf numFmtId="0" fontId="1" fillId="3" borderId="0" xfId="0" applyFont="1" applyFill="1" applyAlignment="1">
      <alignment vertical="top" wrapText="1"/>
    </xf>
    <xf numFmtId="0" fontId="1" fillId="3" borderId="0" xfId="0" applyFont="1" applyFill="1" applyAlignment="1">
      <alignment vertical="top"/>
    </xf>
    <xf numFmtId="0" fontId="2" fillId="3" borderId="0" xfId="0" applyFont="1" applyFill="1" applyAlignment="1">
      <alignment vertical="top"/>
    </xf>
    <xf numFmtId="0" fontId="1" fillId="3" borderId="0" xfId="0" applyFont="1" applyFill="1" applyAlignment="1">
      <alignment horizontal="left" vertical="top" wrapText="1"/>
    </xf>
    <xf numFmtId="1" fontId="1" fillId="3" borderId="0" xfId="0" applyNumberFormat="1" applyFont="1" applyFill="1" applyAlignment="1">
      <alignment horizontal="center" vertical="top"/>
    </xf>
    <xf numFmtId="3" fontId="1" fillId="3" borderId="0" xfId="0" applyNumberFormat="1" applyFont="1" applyFill="1" applyAlignment="1">
      <alignment horizontal="center" vertical="top"/>
    </xf>
    <xf numFmtId="0" fontId="1" fillId="3" borderId="0" xfId="0" applyFont="1" applyFill="1" applyAlignment="1">
      <alignment horizontal="center" vertical="top" wrapText="1"/>
    </xf>
    <xf numFmtId="0" fontId="1" fillId="3" borderId="0" xfId="0" applyFont="1" applyFill="1" applyAlignment="1">
      <alignment horizontal="center" vertical="top"/>
    </xf>
    <xf numFmtId="174" fontId="1" fillId="3" borderId="0" xfId="1" applyNumberFormat="1" applyFont="1" applyFill="1" applyAlignment="1">
      <alignment horizontal="center" vertical="top"/>
    </xf>
    <xf numFmtId="0" fontId="0" fillId="3" borderId="0" xfId="0" applyFill="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35</xdr:col>
      <xdr:colOff>0</xdr:colOff>
      <xdr:row>20</xdr:row>
      <xdr:rowOff>0</xdr:rowOff>
    </xdr:from>
    <xdr:ext cx="142875" cy="2000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drive/folders/1XJUfZBhMBQ4qW3Dla1cjoRkQQWJjQxLa?usp=sharing" TargetMode="External"/><Relationship Id="rId18" Type="http://schemas.openxmlformats.org/officeDocument/2006/relationships/hyperlink" Target="https://drive.google.com/drive/folders/14hNY_Xww91mTUvFDCZMEQxuI-Xzr97zW?usp=sharing" TargetMode="External"/><Relationship Id="rId26" Type="http://schemas.openxmlformats.org/officeDocument/2006/relationships/hyperlink" Target="https://drive.google.com/drive/folders/1uZe9ldT_EpyPIPWAdgm9pWGsCclt5eYL?usp=sharing" TargetMode="External"/><Relationship Id="rId39" Type="http://schemas.openxmlformats.org/officeDocument/2006/relationships/hyperlink" Target="https://drive.google.com/drive/folders/1a37yPFVmMyTrNYK5m0Atz6jOcyTxAlhq" TargetMode="External"/><Relationship Id="rId21" Type="http://schemas.openxmlformats.org/officeDocument/2006/relationships/hyperlink" Target="https://drive.google.com/drive/folders/1GVwjmlKwS5VeNz7PlxwUZ5p8QLrr6pdd" TargetMode="External"/><Relationship Id="rId34" Type="http://schemas.openxmlformats.org/officeDocument/2006/relationships/hyperlink" Target="https://drive.google.com/drive/folders/1fys4r-7lSgzbb3BqmVFjVqJ3lg8K87EY?usp=sharing" TargetMode="External"/><Relationship Id="rId7" Type="http://schemas.openxmlformats.org/officeDocument/2006/relationships/hyperlink" Target="https://drive.google.com/file/d/1FOmttlkyOcL6nSbsX77ufDA_eO6_ZsMq/view?usp=drivesdk" TargetMode="External"/><Relationship Id="rId12" Type="http://schemas.openxmlformats.org/officeDocument/2006/relationships/hyperlink" Target="https://drive.google.com/drive/folders/1_MYmY3brDRVCKzAvcuhe6FQGIBqNZJOn" TargetMode="External"/><Relationship Id="rId17" Type="http://schemas.openxmlformats.org/officeDocument/2006/relationships/hyperlink" Target="https://drive.google.com/drive/folders/17JV2rEUodHYiOhuOxzrVgXuz3lGnzyGi" TargetMode="External"/><Relationship Id="rId25" Type="http://schemas.openxmlformats.org/officeDocument/2006/relationships/hyperlink" Target="https://www.instagram.com/p/DUGI0KUiUko/?igsh=MXR3b3JsazlodnBxcw==" TargetMode="External"/><Relationship Id="rId33" Type="http://schemas.openxmlformats.org/officeDocument/2006/relationships/hyperlink" Target="https://drive.google.com/drive/folders/1pZY5phLD1VS_Iq5WtRJcE8O21quJpW6i?usp=sharing" TargetMode="External"/><Relationship Id="rId38" Type="http://schemas.openxmlformats.org/officeDocument/2006/relationships/hyperlink" Target="https://drive.google.com/drive/folders/1bWQXHYbmRcgyyjJyFhuekKesmvsjVTgH?usp=sharing" TargetMode="External"/><Relationship Id="rId2" Type="http://schemas.openxmlformats.org/officeDocument/2006/relationships/hyperlink" Target="https://drive.google.com/drive/folders/1DEHyJ8goie_l6CWxfg7gQFJwRCKspM9Y?usp=sharing" TargetMode="External"/><Relationship Id="rId16" Type="http://schemas.openxmlformats.org/officeDocument/2006/relationships/hyperlink" Target="https://drive.google.com/drive/folders/1xETEkPE3MFw25johgOMy_Bt9zdESAla3?usp=sharing" TargetMode="External"/><Relationship Id="rId20" Type="http://schemas.openxmlformats.org/officeDocument/2006/relationships/hyperlink" Target="https://www.instagram.com/reel/DW_TpcqERwK/?igsh=em8yZXNnYXV0eGF2" TargetMode="External"/><Relationship Id="rId29" Type="http://schemas.openxmlformats.org/officeDocument/2006/relationships/hyperlink" Target="https://drive.google.com/file/d/17QNmEgh27sFenaRnOSWeaZUZQxzCjGX5/view?usp=sharing" TargetMode="External"/><Relationship Id="rId1" Type="http://schemas.openxmlformats.org/officeDocument/2006/relationships/hyperlink" Target="https://drive.google.com/drive/folders/1yf90ZgZzRqco0DYHPAEwqXFiC5wLSvId?usp=drive_link" TargetMode="External"/><Relationship Id="rId6" Type="http://schemas.openxmlformats.org/officeDocument/2006/relationships/hyperlink" Target="https://drive.google.com/drive/folders/1V4u4a6LUCAPpxhqHO2OUE9rUQc9l9JCM" TargetMode="External"/><Relationship Id="rId11" Type="http://schemas.openxmlformats.org/officeDocument/2006/relationships/hyperlink" Target="https://drive.google.com/file/d/1CgLmU3b0rkBBH9ORrglG9ONJ6uzezQ1I/view?usp=drive_link" TargetMode="External"/><Relationship Id="rId24" Type="http://schemas.openxmlformats.org/officeDocument/2006/relationships/hyperlink" Target="https://ppid.jemberkab.go.id/berita/sukses-sistem-bioflok-panen-perdana-lele-kdmp-nogosari-jadi-contoh-pengembangan-usaha-perikanan-di-jember-20260403" TargetMode="External"/><Relationship Id="rId32" Type="http://schemas.openxmlformats.org/officeDocument/2006/relationships/hyperlink" Target="https://drive.google.com/file/d/1akL80iXawUihscNj-TN_UvqjPU3YLMQO/view?usp=drive_linkk" TargetMode="External"/><Relationship Id="rId37" Type="http://schemas.openxmlformats.org/officeDocument/2006/relationships/hyperlink" Target="https://drive.google.com/drive/folders/1onV5KqJn8s6GuezGavGTwlqRS_uyzAdc" TargetMode="External"/><Relationship Id="rId40" Type="http://schemas.openxmlformats.org/officeDocument/2006/relationships/drawing" Target="../drawings/drawing1.xml"/><Relationship Id="rId5" Type="http://schemas.openxmlformats.org/officeDocument/2006/relationships/hyperlink" Target="https://drive.google.com/drive/folders/1CGcHLf2KSSsWEQzcV1EbKqzX0SQF30Du?usp=drive_link" TargetMode="External"/><Relationship Id="rId15" Type="http://schemas.openxmlformats.org/officeDocument/2006/relationships/hyperlink" Target="https://drive.google.com/drive/folders/1zH0sgt2XJSodvWFK0M2vwYVtHhBwpUo6?usp=drive_link" TargetMode="External"/><Relationship Id="rId23" Type="http://schemas.openxmlformats.org/officeDocument/2006/relationships/hyperlink" Target="https://drive.google.com/file/d/1DhLPG7REjEan8ie4T0oUFcc-AUPN_t7E/view?usp=drive_link" TargetMode="External"/><Relationship Id="rId28" Type="http://schemas.openxmlformats.org/officeDocument/2006/relationships/hyperlink" Target="https://drive.google.com/drive/folders/1B4twLzGxSrhCvY7uVGaC39U0O4BEBFbW" TargetMode="External"/><Relationship Id="rId36" Type="http://schemas.openxmlformats.org/officeDocument/2006/relationships/hyperlink" Target="https://drive.google.com/file/d/1yftlQISlZ7fuN20EtZoA39l195ze4kHu/view?usp=drive_link" TargetMode="External"/><Relationship Id="rId10" Type="http://schemas.openxmlformats.org/officeDocument/2006/relationships/hyperlink" Target="https://drive.google.com/drive/folders/1HPU4ANHP2yJThPtWWgyt7T-c9CsQiY6T" TargetMode="External"/><Relationship Id="rId19" Type="http://schemas.openxmlformats.org/officeDocument/2006/relationships/hyperlink" Target="https://1drv.ms/i/c/261267ef553f725e/IQCibxDC9mIYRJN5p_CLYZwZAcs33sP0u7WjSX3ytqaaHgc?e=r2TEF6" TargetMode="External"/><Relationship Id="rId31" Type="http://schemas.openxmlformats.org/officeDocument/2006/relationships/hyperlink" Target="https://drive.google.com/drive/folders/11WKAvJMxgd7V9s57XO-VsehNM1CFZt2U" TargetMode="External"/><Relationship Id="rId4" Type="http://schemas.openxmlformats.org/officeDocument/2006/relationships/hyperlink" Target="https://drive.google.com/drive/folders/1mS1bFH9HE_oDYnLq_i16rr4K2_f5DqGb?usp=sharing" TargetMode="External"/><Relationship Id="rId9" Type="http://schemas.openxmlformats.org/officeDocument/2006/relationships/hyperlink" Target="https://drive.google.com/drive/folders/1cmBoNdjLkcoxUa3NzaAvkqia1Joc7QuZ" TargetMode="External"/><Relationship Id="rId14" Type="http://schemas.openxmlformats.org/officeDocument/2006/relationships/hyperlink" Target="https://drive.google.com/drive/folders/1wRp6o9zG6FmCsXw3mjkNV7JU5Vp3uoNN?usp=sharing" TargetMode="External"/><Relationship Id="rId22" Type="http://schemas.openxmlformats.org/officeDocument/2006/relationships/hyperlink" Target="https://drive.google.com/drive/folders/16J5yU0x1M3XDgDhDOP1qAua0WcYQuXam?usp=sharing" TargetMode="External"/><Relationship Id="rId27" Type="http://schemas.openxmlformats.org/officeDocument/2006/relationships/hyperlink" Target="https://drive.google.com/drive/folders/1myflzf9Uh3dJLD2UybLjicPPgsO0VBox?usp=sharing" TargetMode="External"/><Relationship Id="rId30" Type="http://schemas.openxmlformats.org/officeDocument/2006/relationships/hyperlink" Target="https://drive.google.com/drive/folders/10-0uH7v2di6dLRSC1qAvMtHze-KQtE-R" TargetMode="External"/><Relationship Id="rId35" Type="http://schemas.openxmlformats.org/officeDocument/2006/relationships/hyperlink" Target="https://drive.google.com/drive/folders/1caE9C_tePyIAaO3KKLTPJtXo5SPE_qhk" TargetMode="External"/><Relationship Id="rId8" Type="http://schemas.openxmlformats.org/officeDocument/2006/relationships/hyperlink" Target="https://www.tiktok.com/@penyuluhperikanankebumen/video/7619127051940891912" TargetMode="External"/><Relationship Id="rId3" Type="http://schemas.openxmlformats.org/officeDocument/2006/relationships/hyperlink" Target="https://drive.google.com/drive/folders/1pDJ_g8JR1QAYklnMM8YFC303lwJ1w82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98"/>
  <sheetViews>
    <sheetView tabSelected="1" workbookViewId="0">
      <pane xSplit="2" ySplit="3" topLeftCell="U72" activePane="bottomRight" state="frozen"/>
      <selection pane="topRight" activeCell="C1" sqref="C1"/>
      <selection pane="bottomLeft" activeCell="A4" sqref="A4"/>
      <selection pane="bottomRight" activeCell="AA87" sqref="AA87"/>
    </sheetView>
  </sheetViews>
  <sheetFormatPr defaultColWidth="14.3984375" defaultRowHeight="15" customHeight="1" x14ac:dyDescent="0.45"/>
  <cols>
    <col min="1" max="1" width="8.73046875" customWidth="1"/>
    <col min="2" max="2" width="48.53125" customWidth="1"/>
    <col min="3" max="3" width="15.53125" customWidth="1"/>
    <col min="4" max="4" width="16.265625" customWidth="1"/>
    <col min="5" max="5" width="10.86328125" customWidth="1"/>
    <col min="6" max="6" width="21.1328125" customWidth="1"/>
    <col min="7" max="7" width="21.86328125" customWidth="1"/>
    <col min="8" max="8" width="14.86328125" customWidth="1"/>
    <col min="9" max="9" width="15.265625" customWidth="1"/>
    <col min="10" max="10" width="17.3984375" customWidth="1"/>
    <col min="11" max="12" width="12.1328125" customWidth="1"/>
    <col min="13" max="13" width="16.1328125" customWidth="1"/>
    <col min="14" max="14" width="14.53125" customWidth="1"/>
    <col min="15" max="16" width="12.73046875" customWidth="1"/>
    <col min="17" max="17" width="18.1328125" customWidth="1"/>
    <col min="18" max="20" width="15.53125" customWidth="1"/>
    <col min="21" max="21" width="21.86328125" customWidth="1"/>
    <col min="22" max="29" width="15.53125" customWidth="1"/>
    <col min="30" max="30" width="17.265625" bestFit="1" customWidth="1"/>
    <col min="31" max="32" width="15.53125" customWidth="1"/>
    <col min="33" max="33" width="15.3984375" customWidth="1"/>
    <col min="34" max="34" width="82.3984375" customWidth="1"/>
    <col min="35" max="35" width="64.53125" customWidth="1"/>
    <col min="36" max="36" width="46.3984375" customWidth="1"/>
    <col min="37" max="37" width="40.73046875" customWidth="1"/>
    <col min="38" max="42" width="8.73046875" customWidth="1"/>
  </cols>
  <sheetData>
    <row r="1" spans="1:42" ht="14.25" customHeight="1" x14ac:dyDescent="0.4">
      <c r="C1" s="1"/>
      <c r="E1" s="2"/>
      <c r="F1" s="3"/>
      <c r="G1" s="4"/>
      <c r="H1" s="5"/>
      <c r="I1" s="6"/>
      <c r="J1" s="6"/>
      <c r="K1" s="7"/>
      <c r="L1" s="5"/>
      <c r="M1" s="7"/>
      <c r="N1" s="7"/>
      <c r="O1" s="7"/>
      <c r="P1" s="5"/>
      <c r="Q1" s="7"/>
      <c r="R1" s="7"/>
      <c r="S1" s="7"/>
      <c r="T1" s="7"/>
      <c r="U1" s="7"/>
      <c r="V1" s="7"/>
      <c r="W1" s="7"/>
      <c r="X1" s="7"/>
      <c r="Y1" s="7"/>
      <c r="Z1" s="7"/>
      <c r="AA1" s="7"/>
      <c r="AB1" s="7"/>
      <c r="AC1" s="7"/>
      <c r="AD1" s="7"/>
      <c r="AE1" s="7"/>
      <c r="AF1" s="7"/>
      <c r="AG1" s="7"/>
      <c r="AH1" s="1"/>
      <c r="AI1" s="1"/>
      <c r="AJ1" s="1"/>
    </row>
    <row r="2" spans="1:42" ht="14.25" customHeight="1" x14ac:dyDescent="0.45">
      <c r="A2" s="83" t="s">
        <v>0</v>
      </c>
      <c r="B2" s="83" t="s">
        <v>1</v>
      </c>
      <c r="C2" s="83" t="s">
        <v>2</v>
      </c>
      <c r="D2" s="83" t="s">
        <v>3</v>
      </c>
      <c r="E2" s="85" t="s">
        <v>4</v>
      </c>
      <c r="F2" s="86" t="s">
        <v>5</v>
      </c>
      <c r="G2" s="87"/>
      <c r="H2" s="87"/>
      <c r="I2" s="88"/>
      <c r="J2" s="86" t="s">
        <v>6</v>
      </c>
      <c r="K2" s="87"/>
      <c r="L2" s="87"/>
      <c r="M2" s="88"/>
      <c r="N2" s="90" t="s">
        <v>7</v>
      </c>
      <c r="O2" s="87"/>
      <c r="P2" s="87"/>
      <c r="Q2" s="88"/>
      <c r="R2" s="90" t="s">
        <v>8</v>
      </c>
      <c r="S2" s="87"/>
      <c r="T2" s="87"/>
      <c r="U2" s="88"/>
      <c r="V2" s="90" t="s">
        <v>9</v>
      </c>
      <c r="W2" s="87"/>
      <c r="X2" s="87"/>
      <c r="Y2" s="88"/>
      <c r="Z2" s="90" t="s">
        <v>10</v>
      </c>
      <c r="AA2" s="87"/>
      <c r="AB2" s="87"/>
      <c r="AC2" s="88"/>
      <c r="AD2" s="91" t="s">
        <v>411</v>
      </c>
      <c r="AE2" s="91" t="s">
        <v>412</v>
      </c>
      <c r="AF2" s="83" t="s">
        <v>11</v>
      </c>
      <c r="AG2" s="83" t="s">
        <v>12</v>
      </c>
      <c r="AH2" s="8" t="s">
        <v>13</v>
      </c>
      <c r="AI2" s="83" t="s">
        <v>14</v>
      </c>
      <c r="AJ2" s="83" t="s">
        <v>15</v>
      </c>
      <c r="AK2" s="89" t="s">
        <v>16</v>
      </c>
      <c r="AL2" s="9"/>
      <c r="AM2" s="9"/>
      <c r="AN2" s="9"/>
      <c r="AO2" s="9"/>
      <c r="AP2" s="9"/>
    </row>
    <row r="3" spans="1:42" ht="14.25" customHeight="1" x14ac:dyDescent="0.45">
      <c r="A3" s="84"/>
      <c r="B3" s="84"/>
      <c r="C3" s="84"/>
      <c r="D3" s="84"/>
      <c r="E3" s="84"/>
      <c r="F3" s="10" t="s">
        <v>17</v>
      </c>
      <c r="G3" s="11" t="s">
        <v>18</v>
      </c>
      <c r="H3" s="12" t="s">
        <v>19</v>
      </c>
      <c r="I3" s="10" t="s">
        <v>20</v>
      </c>
      <c r="J3" s="10" t="s">
        <v>17</v>
      </c>
      <c r="K3" s="10" t="s">
        <v>18</v>
      </c>
      <c r="L3" s="12" t="s">
        <v>19</v>
      </c>
      <c r="M3" s="10" t="s">
        <v>20</v>
      </c>
      <c r="N3" s="10" t="s">
        <v>17</v>
      </c>
      <c r="O3" s="10" t="s">
        <v>18</v>
      </c>
      <c r="P3" s="12" t="s">
        <v>19</v>
      </c>
      <c r="Q3" s="10" t="s">
        <v>20</v>
      </c>
      <c r="R3" s="10" t="s">
        <v>17</v>
      </c>
      <c r="S3" s="10" t="s">
        <v>18</v>
      </c>
      <c r="T3" s="12" t="s">
        <v>19</v>
      </c>
      <c r="U3" s="10" t="s">
        <v>20</v>
      </c>
      <c r="V3" s="10" t="s">
        <v>17</v>
      </c>
      <c r="W3" s="10" t="s">
        <v>18</v>
      </c>
      <c r="X3" s="12" t="s">
        <v>19</v>
      </c>
      <c r="Y3" s="10" t="s">
        <v>20</v>
      </c>
      <c r="Z3" s="10" t="s">
        <v>17</v>
      </c>
      <c r="AA3" s="10" t="s">
        <v>18</v>
      </c>
      <c r="AB3" s="12" t="s">
        <v>19</v>
      </c>
      <c r="AC3" s="10" t="s">
        <v>20</v>
      </c>
      <c r="AD3" s="92"/>
      <c r="AE3" s="92"/>
      <c r="AF3" s="84"/>
      <c r="AG3" s="84"/>
      <c r="AH3" s="3"/>
      <c r="AI3" s="84"/>
      <c r="AJ3" s="84"/>
      <c r="AK3" s="84"/>
      <c r="AL3" s="13"/>
      <c r="AM3" s="13"/>
      <c r="AN3" s="13"/>
      <c r="AO3" s="13"/>
      <c r="AP3" s="13"/>
    </row>
    <row r="4" spans="1:42" ht="14.25" x14ac:dyDescent="0.45">
      <c r="A4" s="14">
        <v>1</v>
      </c>
      <c r="B4" s="15" t="s">
        <v>21</v>
      </c>
      <c r="C4" s="16" t="s">
        <v>22</v>
      </c>
      <c r="D4" s="14" t="s">
        <v>23</v>
      </c>
      <c r="E4" s="17" t="s">
        <v>24</v>
      </c>
      <c r="F4" s="18"/>
      <c r="G4" s="18"/>
      <c r="H4" s="18"/>
      <c r="I4" s="18"/>
      <c r="J4" s="19"/>
      <c r="K4" s="20"/>
      <c r="L4" s="21"/>
      <c r="M4" s="20"/>
      <c r="N4" s="20"/>
      <c r="O4" s="20"/>
      <c r="P4" s="21"/>
      <c r="Q4" s="20"/>
      <c r="R4" s="20"/>
      <c r="S4" s="20"/>
      <c r="T4" s="20"/>
      <c r="U4" s="20"/>
      <c r="V4" s="20"/>
      <c r="W4" s="20"/>
      <c r="X4" s="20"/>
      <c r="Y4" s="20"/>
      <c r="Z4" s="20"/>
      <c r="AA4" s="20"/>
      <c r="AB4" s="20"/>
      <c r="AC4" s="20"/>
      <c r="AD4" s="24">
        <f>G4+K4+O4+S4+W4+AA4</f>
        <v>0</v>
      </c>
      <c r="AE4" s="97">
        <f>H4+L4+P4+T4+X4+AB4</f>
        <v>0</v>
      </c>
      <c r="AF4" s="20"/>
      <c r="AG4" s="20"/>
      <c r="AH4" s="18" t="s">
        <v>25</v>
      </c>
      <c r="AI4" s="22"/>
      <c r="AJ4" s="22"/>
      <c r="AK4" s="23"/>
    </row>
    <row r="5" spans="1:42" ht="14.25" x14ac:dyDescent="0.45">
      <c r="A5" s="14">
        <v>2</v>
      </c>
      <c r="B5" s="15" t="s">
        <v>26</v>
      </c>
      <c r="C5" s="16" t="s">
        <v>22</v>
      </c>
      <c r="D5" s="14" t="s">
        <v>23</v>
      </c>
      <c r="E5" s="17" t="s">
        <v>27</v>
      </c>
      <c r="F5" s="18"/>
      <c r="G5" s="24"/>
      <c r="H5" s="25"/>
      <c r="I5" s="19"/>
      <c r="J5" s="19"/>
      <c r="K5" s="20"/>
      <c r="L5" s="21"/>
      <c r="M5" s="20"/>
      <c r="N5" s="20"/>
      <c r="O5" s="20"/>
      <c r="P5" s="26"/>
      <c r="Q5" s="20"/>
      <c r="R5" s="20"/>
      <c r="S5" s="20"/>
      <c r="T5" s="20"/>
      <c r="U5" s="20"/>
      <c r="V5" s="20"/>
      <c r="W5" s="20"/>
      <c r="X5" s="20"/>
      <c r="Y5" s="20"/>
      <c r="Z5" s="20"/>
      <c r="AA5" s="20"/>
      <c r="AB5" s="20"/>
      <c r="AC5" s="20"/>
      <c r="AD5" s="24">
        <f>G5+K5+O5+S5+W5+AA5</f>
        <v>0</v>
      </c>
      <c r="AE5" s="97">
        <f>H5+L5+P5+T5+X5+AB5</f>
        <v>0</v>
      </c>
      <c r="AF5" s="20"/>
      <c r="AG5" s="20"/>
      <c r="AH5" s="18" t="s">
        <v>28</v>
      </c>
      <c r="AI5" s="22"/>
      <c r="AJ5" s="22"/>
      <c r="AK5" s="23"/>
    </row>
    <row r="6" spans="1:42" ht="14.25" customHeight="1" x14ac:dyDescent="0.45">
      <c r="A6" s="14">
        <v>3</v>
      </c>
      <c r="B6" s="15" t="s">
        <v>29</v>
      </c>
      <c r="C6" s="16" t="s">
        <v>30</v>
      </c>
      <c r="D6" s="14" t="s">
        <v>31</v>
      </c>
      <c r="E6" s="17" t="s">
        <v>27</v>
      </c>
      <c r="F6" s="18"/>
      <c r="G6" s="24"/>
      <c r="H6" s="25"/>
      <c r="I6" s="19"/>
      <c r="J6" s="19"/>
      <c r="K6" s="20"/>
      <c r="L6" s="21"/>
      <c r="M6" s="20"/>
      <c r="N6" s="20"/>
      <c r="O6" s="20"/>
      <c r="P6" s="21"/>
      <c r="Q6" s="20"/>
      <c r="R6" s="20"/>
      <c r="S6" s="20"/>
      <c r="T6" s="20"/>
      <c r="U6" s="20"/>
      <c r="V6" s="20"/>
      <c r="W6" s="20"/>
      <c r="X6" s="20"/>
      <c r="Y6" s="20"/>
      <c r="Z6" s="20"/>
      <c r="AA6" s="20"/>
      <c r="AB6" s="20"/>
      <c r="AC6" s="20"/>
      <c r="AD6" s="24">
        <f t="shared" ref="AD6:AE69" si="0">G6+K6+O6+S6+W6+AA6</f>
        <v>0</v>
      </c>
      <c r="AE6" s="97">
        <f t="shared" si="0"/>
        <v>0</v>
      </c>
      <c r="AF6" s="20"/>
      <c r="AG6" s="20"/>
      <c r="AH6" s="18"/>
      <c r="AI6" s="22"/>
      <c r="AJ6" s="22"/>
      <c r="AK6" s="23"/>
    </row>
    <row r="7" spans="1:42" ht="14.25" customHeight="1" x14ac:dyDescent="0.45">
      <c r="A7" s="14">
        <v>4</v>
      </c>
      <c r="B7" s="15" t="s">
        <v>32</v>
      </c>
      <c r="C7" s="16" t="s">
        <v>30</v>
      </c>
      <c r="D7" s="14" t="s">
        <v>31</v>
      </c>
      <c r="E7" s="17" t="s">
        <v>24</v>
      </c>
      <c r="F7" s="18"/>
      <c r="G7" s="24"/>
      <c r="H7" s="25"/>
      <c r="I7" s="19"/>
      <c r="J7" s="19"/>
      <c r="K7" s="20"/>
      <c r="L7" s="21"/>
      <c r="M7" s="20"/>
      <c r="N7" s="20"/>
      <c r="O7" s="20"/>
      <c r="P7" s="21"/>
      <c r="Q7" s="20"/>
      <c r="R7" s="20"/>
      <c r="S7" s="20"/>
      <c r="T7" s="20"/>
      <c r="U7" s="20"/>
      <c r="V7" s="20"/>
      <c r="W7" s="20"/>
      <c r="X7" s="20"/>
      <c r="Y7" s="20"/>
      <c r="Z7" s="20"/>
      <c r="AA7" s="20"/>
      <c r="AB7" s="20"/>
      <c r="AC7" s="20"/>
      <c r="AD7" s="24">
        <f t="shared" si="0"/>
        <v>0</v>
      </c>
      <c r="AE7" s="97">
        <f t="shared" si="0"/>
        <v>0</v>
      </c>
      <c r="AF7" s="20"/>
      <c r="AG7" s="20"/>
      <c r="AH7" s="18" t="s">
        <v>33</v>
      </c>
      <c r="AI7" s="22"/>
      <c r="AJ7" s="22"/>
      <c r="AK7" s="23"/>
    </row>
    <row r="8" spans="1:42" ht="14.25" customHeight="1" x14ac:dyDescent="0.45">
      <c r="A8" s="14">
        <v>5</v>
      </c>
      <c r="B8" s="15" t="s">
        <v>34</v>
      </c>
      <c r="C8" s="27" t="s">
        <v>30</v>
      </c>
      <c r="D8" s="28" t="s">
        <v>31</v>
      </c>
      <c r="E8" s="29" t="s">
        <v>35</v>
      </c>
      <c r="F8" s="30">
        <v>46122</v>
      </c>
      <c r="G8" s="97">
        <v>900</v>
      </c>
      <c r="H8" s="25">
        <v>16200000</v>
      </c>
      <c r="I8" s="19" t="s">
        <v>36</v>
      </c>
      <c r="J8" s="31">
        <v>46136</v>
      </c>
      <c r="K8" s="20"/>
      <c r="L8" s="21"/>
      <c r="M8" s="20"/>
      <c r="N8" s="20"/>
      <c r="O8" s="20"/>
      <c r="P8" s="21"/>
      <c r="Q8" s="20"/>
      <c r="R8" s="20"/>
      <c r="S8" s="20"/>
      <c r="T8" s="20"/>
      <c r="U8" s="20"/>
      <c r="V8" s="20"/>
      <c r="W8" s="20"/>
      <c r="X8" s="20"/>
      <c r="Y8" s="20"/>
      <c r="Z8" s="20"/>
      <c r="AA8" s="20"/>
      <c r="AB8" s="20"/>
      <c r="AC8" s="20"/>
      <c r="AD8" s="24">
        <f t="shared" si="0"/>
        <v>900</v>
      </c>
      <c r="AE8" s="97">
        <f t="shared" si="0"/>
        <v>16200000</v>
      </c>
      <c r="AF8" s="20"/>
      <c r="AG8" s="20"/>
      <c r="AH8" s="18" t="s">
        <v>37</v>
      </c>
      <c r="AI8" s="22"/>
      <c r="AJ8" s="22"/>
      <c r="AK8" s="23"/>
    </row>
    <row r="9" spans="1:42" ht="14.25" x14ac:dyDescent="0.45">
      <c r="A9" s="14">
        <v>6</v>
      </c>
      <c r="B9" s="15" t="s">
        <v>38</v>
      </c>
      <c r="C9" s="27" t="s">
        <v>30</v>
      </c>
      <c r="D9" s="28" t="s">
        <v>31</v>
      </c>
      <c r="E9" s="17" t="s">
        <v>24</v>
      </c>
      <c r="F9" s="18"/>
      <c r="G9" s="24"/>
      <c r="H9" s="25"/>
      <c r="I9" s="19"/>
      <c r="J9" s="19"/>
      <c r="K9" s="20"/>
      <c r="L9" s="21"/>
      <c r="M9" s="20"/>
      <c r="N9" s="20"/>
      <c r="O9" s="20"/>
      <c r="P9" s="21"/>
      <c r="Q9" s="20"/>
      <c r="R9" s="20"/>
      <c r="S9" s="20"/>
      <c r="T9" s="20"/>
      <c r="U9" s="20"/>
      <c r="V9" s="20"/>
      <c r="W9" s="20"/>
      <c r="X9" s="20"/>
      <c r="Y9" s="20"/>
      <c r="Z9" s="20"/>
      <c r="AA9" s="20"/>
      <c r="AB9" s="20"/>
      <c r="AC9" s="20"/>
      <c r="AD9" s="24">
        <f t="shared" si="0"/>
        <v>0</v>
      </c>
      <c r="AE9" s="97">
        <f t="shared" si="0"/>
        <v>0</v>
      </c>
      <c r="AF9" s="20"/>
      <c r="AG9" s="20"/>
      <c r="AH9" s="32" t="s">
        <v>39</v>
      </c>
      <c r="AI9" s="22"/>
      <c r="AJ9" s="22"/>
      <c r="AK9" s="23"/>
    </row>
    <row r="10" spans="1:42" ht="14.25" customHeight="1" x14ac:dyDescent="0.45">
      <c r="A10" s="14"/>
      <c r="B10" s="15"/>
      <c r="C10" s="27"/>
      <c r="D10" s="28"/>
      <c r="E10" s="17"/>
      <c r="F10" s="18"/>
      <c r="G10" s="24"/>
      <c r="H10" s="25"/>
      <c r="I10" s="19"/>
      <c r="J10" s="19"/>
      <c r="K10" s="20"/>
      <c r="L10" s="21"/>
      <c r="M10" s="20"/>
      <c r="N10" s="20"/>
      <c r="O10" s="20"/>
      <c r="P10" s="21"/>
      <c r="Q10" s="20"/>
      <c r="R10" s="20"/>
      <c r="S10" s="20"/>
      <c r="T10" s="20"/>
      <c r="U10" s="20"/>
      <c r="V10" s="20"/>
      <c r="W10" s="20"/>
      <c r="X10" s="20"/>
      <c r="Y10" s="20"/>
      <c r="Z10" s="20"/>
      <c r="AA10" s="20"/>
      <c r="AB10" s="20"/>
      <c r="AC10" s="20"/>
      <c r="AD10" s="24">
        <f t="shared" si="0"/>
        <v>0</v>
      </c>
      <c r="AE10" s="97">
        <f t="shared" si="0"/>
        <v>0</v>
      </c>
      <c r="AF10" s="20"/>
      <c r="AG10" s="20"/>
      <c r="AH10" s="18"/>
      <c r="AI10" s="22"/>
      <c r="AJ10" s="22"/>
      <c r="AK10" s="23"/>
    </row>
    <row r="11" spans="1:42" ht="14.25" customHeight="1" x14ac:dyDescent="0.45">
      <c r="A11" s="14">
        <v>7</v>
      </c>
      <c r="B11" s="15" t="s">
        <v>40</v>
      </c>
      <c r="C11" s="16" t="s">
        <v>41</v>
      </c>
      <c r="D11" s="14" t="s">
        <v>31</v>
      </c>
      <c r="E11" s="17" t="s">
        <v>27</v>
      </c>
      <c r="F11" s="18" t="s">
        <v>42</v>
      </c>
      <c r="G11" s="98">
        <v>2263.5</v>
      </c>
      <c r="H11" s="25">
        <v>43421000</v>
      </c>
      <c r="I11" s="19" t="s">
        <v>43</v>
      </c>
      <c r="J11" s="19"/>
      <c r="K11" s="20"/>
      <c r="L11" s="21"/>
      <c r="M11" s="20"/>
      <c r="N11" s="20"/>
      <c r="O11" s="20"/>
      <c r="P11" s="21"/>
      <c r="Q11" s="20"/>
      <c r="R11" s="20"/>
      <c r="S11" s="20"/>
      <c r="T11" s="20"/>
      <c r="U11" s="20"/>
      <c r="V11" s="20"/>
      <c r="W11" s="20"/>
      <c r="X11" s="20"/>
      <c r="Y11" s="20"/>
      <c r="Z11" s="20"/>
      <c r="AA11" s="20"/>
      <c r="AB11" s="20"/>
      <c r="AC11" s="20"/>
      <c r="AD11" s="24">
        <f>G11+K11+O11+S11+W11+AA11</f>
        <v>2263.5</v>
      </c>
      <c r="AE11" s="97">
        <f t="shared" si="0"/>
        <v>43421000</v>
      </c>
      <c r="AF11" s="20"/>
      <c r="AG11" s="20"/>
      <c r="AH11" s="18"/>
      <c r="AI11" s="22"/>
      <c r="AJ11" s="22"/>
      <c r="AK11" s="23"/>
    </row>
    <row r="12" spans="1:42" ht="28.5" x14ac:dyDescent="0.45">
      <c r="A12" s="14">
        <v>8</v>
      </c>
      <c r="B12" s="15" t="s">
        <v>44</v>
      </c>
      <c r="C12" s="16" t="s">
        <v>41</v>
      </c>
      <c r="D12" s="14" t="s">
        <v>31</v>
      </c>
      <c r="E12" s="17" t="s">
        <v>24</v>
      </c>
      <c r="F12" s="18" t="s">
        <v>45</v>
      </c>
      <c r="G12" s="33"/>
      <c r="H12" s="34"/>
      <c r="I12" s="35"/>
      <c r="J12" s="35"/>
      <c r="K12" s="36"/>
      <c r="L12" s="37"/>
      <c r="M12" s="36"/>
      <c r="N12" s="36"/>
      <c r="O12" s="36"/>
      <c r="P12" s="37"/>
      <c r="Q12" s="36"/>
      <c r="R12" s="20"/>
      <c r="S12" s="20"/>
      <c r="T12" s="20"/>
      <c r="U12" s="20"/>
      <c r="V12" s="20"/>
      <c r="W12" s="20"/>
      <c r="X12" s="20"/>
      <c r="Y12" s="20"/>
      <c r="Z12" s="20"/>
      <c r="AA12" s="20"/>
      <c r="AB12" s="20"/>
      <c r="AC12" s="20"/>
      <c r="AD12" s="24">
        <f>G12+K12+O12+S12+W12+AA12</f>
        <v>0</v>
      </c>
      <c r="AE12" s="97">
        <f t="shared" si="0"/>
        <v>0</v>
      </c>
      <c r="AF12" s="20"/>
      <c r="AG12" s="20"/>
      <c r="AH12" s="18" t="s">
        <v>33</v>
      </c>
      <c r="AI12" s="22"/>
      <c r="AJ12" s="38" t="s">
        <v>47</v>
      </c>
      <c r="AK12" s="23"/>
    </row>
    <row r="13" spans="1:42" ht="14.25" x14ac:dyDescent="0.45">
      <c r="A13" s="14">
        <v>9</v>
      </c>
      <c r="B13" s="15" t="s">
        <v>48</v>
      </c>
      <c r="C13" s="16" t="s">
        <v>49</v>
      </c>
      <c r="D13" s="14" t="s">
        <v>31</v>
      </c>
      <c r="E13" s="17" t="s">
        <v>27</v>
      </c>
      <c r="F13" s="18" t="s">
        <v>50</v>
      </c>
      <c r="G13" s="24"/>
      <c r="H13" s="25"/>
      <c r="I13" s="19"/>
      <c r="J13" s="19"/>
      <c r="K13" s="20"/>
      <c r="L13" s="21"/>
      <c r="M13" s="20"/>
      <c r="N13" s="20"/>
      <c r="O13" s="20"/>
      <c r="P13" s="21"/>
      <c r="Q13" s="20"/>
      <c r="R13" s="20"/>
      <c r="S13" s="20"/>
      <c r="T13" s="20"/>
      <c r="U13" s="20"/>
      <c r="V13" s="20"/>
      <c r="W13" s="20"/>
      <c r="X13" s="20"/>
      <c r="Y13" s="20"/>
      <c r="Z13" s="20"/>
      <c r="AA13" s="20"/>
      <c r="AB13" s="20"/>
      <c r="AC13" s="20"/>
      <c r="AD13" s="24">
        <f t="shared" si="0"/>
        <v>0</v>
      </c>
      <c r="AE13" s="97">
        <f t="shared" si="0"/>
        <v>0</v>
      </c>
      <c r="AF13" s="20"/>
      <c r="AG13" s="20"/>
      <c r="AH13" s="18" t="s">
        <v>51</v>
      </c>
      <c r="AI13" s="22"/>
      <c r="AJ13" s="22"/>
      <c r="AK13" s="23"/>
    </row>
    <row r="14" spans="1:42" ht="14.25" x14ac:dyDescent="0.45">
      <c r="A14" s="14">
        <v>10</v>
      </c>
      <c r="B14" s="15" t="s">
        <v>52</v>
      </c>
      <c r="C14" s="16" t="s">
        <v>49</v>
      </c>
      <c r="D14" s="14" t="s">
        <v>31</v>
      </c>
      <c r="E14" s="17" t="s">
        <v>27</v>
      </c>
      <c r="F14" s="18" t="s">
        <v>53</v>
      </c>
      <c r="G14" s="24"/>
      <c r="H14" s="25"/>
      <c r="I14" s="19"/>
      <c r="J14" s="19"/>
      <c r="K14" s="20"/>
      <c r="L14" s="21"/>
      <c r="M14" s="20"/>
      <c r="N14" s="20"/>
      <c r="O14" s="20"/>
      <c r="P14" s="21"/>
      <c r="Q14" s="20"/>
      <c r="R14" s="20"/>
      <c r="S14" s="20"/>
      <c r="T14" s="20"/>
      <c r="U14" s="20"/>
      <c r="V14" s="20"/>
      <c r="W14" s="20"/>
      <c r="X14" s="20"/>
      <c r="Y14" s="20"/>
      <c r="Z14" s="20"/>
      <c r="AA14" s="20"/>
      <c r="AB14" s="20"/>
      <c r="AC14" s="20"/>
      <c r="AD14" s="24">
        <f t="shared" si="0"/>
        <v>0</v>
      </c>
      <c r="AE14" s="97">
        <f t="shared" si="0"/>
        <v>0</v>
      </c>
      <c r="AF14" s="20"/>
      <c r="AG14" s="20"/>
      <c r="AH14" s="18"/>
      <c r="AI14" s="22"/>
      <c r="AJ14" s="22"/>
      <c r="AK14" s="23"/>
    </row>
    <row r="15" spans="1:42" ht="28.5" x14ac:dyDescent="0.45">
      <c r="A15" s="14">
        <v>11</v>
      </c>
      <c r="B15" s="15" t="s">
        <v>54</v>
      </c>
      <c r="C15" s="16" t="s">
        <v>49</v>
      </c>
      <c r="D15" s="14" t="s">
        <v>31</v>
      </c>
      <c r="E15" s="17" t="s">
        <v>27</v>
      </c>
      <c r="F15" s="30">
        <v>45768</v>
      </c>
      <c r="G15" s="97">
        <v>180</v>
      </c>
      <c r="H15" s="25">
        <v>3600000</v>
      </c>
      <c r="I15" s="19" t="s">
        <v>43</v>
      </c>
      <c r="J15" s="19"/>
      <c r="K15" s="20"/>
      <c r="L15" s="21"/>
      <c r="M15" s="20"/>
      <c r="N15" s="20"/>
      <c r="O15" s="20"/>
      <c r="P15" s="21"/>
      <c r="Q15" s="20"/>
      <c r="R15" s="20"/>
      <c r="S15" s="20"/>
      <c r="T15" s="20"/>
      <c r="U15" s="20"/>
      <c r="V15" s="20"/>
      <c r="W15" s="20"/>
      <c r="X15" s="20"/>
      <c r="Y15" s="20"/>
      <c r="Z15" s="20"/>
      <c r="AA15" s="20"/>
      <c r="AB15" s="20"/>
      <c r="AC15" s="20"/>
      <c r="AD15" s="24">
        <f t="shared" si="0"/>
        <v>180</v>
      </c>
      <c r="AE15" s="97">
        <f t="shared" si="0"/>
        <v>3600000</v>
      </c>
      <c r="AF15" s="20"/>
      <c r="AG15" s="20"/>
      <c r="AH15" s="18"/>
      <c r="AI15" s="22"/>
      <c r="AJ15" s="39" t="s">
        <v>55</v>
      </c>
      <c r="AK15" s="40" t="s">
        <v>56</v>
      </c>
    </row>
    <row r="16" spans="1:42" ht="14.25" x14ac:dyDescent="0.45">
      <c r="A16" s="14">
        <v>12</v>
      </c>
      <c r="B16" s="15" t="s">
        <v>57</v>
      </c>
      <c r="C16" s="16" t="s">
        <v>49</v>
      </c>
      <c r="D16" s="14" t="s">
        <v>31</v>
      </c>
      <c r="E16" s="17" t="s">
        <v>27</v>
      </c>
      <c r="F16" s="18" t="s">
        <v>58</v>
      </c>
      <c r="G16" s="24"/>
      <c r="H16" s="25"/>
      <c r="I16" s="19"/>
      <c r="J16" s="19"/>
      <c r="K16" s="20"/>
      <c r="L16" s="21"/>
      <c r="M16" s="20"/>
      <c r="N16" s="20"/>
      <c r="O16" s="20"/>
      <c r="P16" s="21"/>
      <c r="Q16" s="20"/>
      <c r="R16" s="20"/>
      <c r="S16" s="20"/>
      <c r="T16" s="20"/>
      <c r="U16" s="20"/>
      <c r="V16" s="20"/>
      <c r="W16" s="20"/>
      <c r="X16" s="20"/>
      <c r="Y16" s="20"/>
      <c r="Z16" s="20"/>
      <c r="AA16" s="20"/>
      <c r="AB16" s="20"/>
      <c r="AC16" s="20"/>
      <c r="AD16" s="24">
        <f t="shared" si="0"/>
        <v>0</v>
      </c>
      <c r="AE16" s="97">
        <f t="shared" si="0"/>
        <v>0</v>
      </c>
      <c r="AF16" s="20"/>
      <c r="AG16" s="20"/>
      <c r="AH16" s="18" t="s">
        <v>51</v>
      </c>
      <c r="AI16" s="22"/>
      <c r="AJ16" s="22"/>
      <c r="AK16" s="23"/>
    </row>
    <row r="17" spans="1:37" ht="65.25" customHeight="1" x14ac:dyDescent="0.45">
      <c r="A17" s="14">
        <v>13</v>
      </c>
      <c r="B17" s="15" t="s">
        <v>59</v>
      </c>
      <c r="C17" s="16" t="s">
        <v>60</v>
      </c>
      <c r="D17" s="14" t="s">
        <v>31</v>
      </c>
      <c r="E17" s="17" t="s">
        <v>27</v>
      </c>
      <c r="F17" s="19" t="s">
        <v>61</v>
      </c>
      <c r="G17" s="97">
        <v>145</v>
      </c>
      <c r="H17" s="25">
        <v>2900000</v>
      </c>
      <c r="I17" s="19" t="s">
        <v>62</v>
      </c>
      <c r="J17" s="36" t="s">
        <v>63</v>
      </c>
      <c r="K17" s="20">
        <v>139</v>
      </c>
      <c r="L17" s="21">
        <v>2641000</v>
      </c>
      <c r="M17" s="20" t="s">
        <v>43</v>
      </c>
      <c r="N17" s="36" t="s">
        <v>64</v>
      </c>
      <c r="O17" s="20">
        <v>307</v>
      </c>
      <c r="P17" s="21">
        <v>5833000</v>
      </c>
      <c r="Q17" s="20" t="s">
        <v>43</v>
      </c>
      <c r="R17" s="20"/>
      <c r="S17" s="20"/>
      <c r="T17" s="20"/>
      <c r="U17" s="20"/>
      <c r="V17" s="20"/>
      <c r="W17" s="20"/>
      <c r="X17" s="20"/>
      <c r="Y17" s="20"/>
      <c r="Z17" s="20"/>
      <c r="AA17" s="20"/>
      <c r="AB17" s="20"/>
      <c r="AC17" s="20"/>
      <c r="AD17" s="24">
        <f t="shared" si="0"/>
        <v>591</v>
      </c>
      <c r="AE17" s="97">
        <f t="shared" si="0"/>
        <v>11374000</v>
      </c>
      <c r="AF17" s="41">
        <v>0.7</v>
      </c>
      <c r="AG17" s="20" t="s">
        <v>65</v>
      </c>
      <c r="AH17" s="18" t="s">
        <v>66</v>
      </c>
      <c r="AI17" s="18" t="s">
        <v>67</v>
      </c>
      <c r="AJ17" s="38" t="s">
        <v>68</v>
      </c>
      <c r="AK17" s="23"/>
    </row>
    <row r="18" spans="1:37" ht="71.25" x14ac:dyDescent="0.45">
      <c r="A18" s="14">
        <v>14</v>
      </c>
      <c r="B18" s="15" t="s">
        <v>69</v>
      </c>
      <c r="C18" s="16" t="s">
        <v>60</v>
      </c>
      <c r="D18" s="14" t="s">
        <v>31</v>
      </c>
      <c r="E18" s="17" t="s">
        <v>27</v>
      </c>
      <c r="F18" s="42">
        <v>46146</v>
      </c>
      <c r="G18" s="97">
        <v>80</v>
      </c>
      <c r="H18" s="25">
        <f>20000*G18</f>
        <v>1600000</v>
      </c>
      <c r="I18" s="19" t="s">
        <v>43</v>
      </c>
      <c r="J18" s="36" t="s">
        <v>70</v>
      </c>
      <c r="K18" s="20">
        <v>100</v>
      </c>
      <c r="L18" s="21">
        <f>20000*K18</f>
        <v>2000000</v>
      </c>
      <c r="M18" s="20" t="s">
        <v>43</v>
      </c>
      <c r="N18" s="20"/>
      <c r="O18" s="20"/>
      <c r="P18" s="21"/>
      <c r="Q18" s="20"/>
      <c r="R18" s="20"/>
      <c r="S18" s="20"/>
      <c r="T18" s="20"/>
      <c r="U18" s="20"/>
      <c r="V18" s="20"/>
      <c r="W18" s="20"/>
      <c r="X18" s="20"/>
      <c r="Y18" s="20"/>
      <c r="Z18" s="20"/>
      <c r="AA18" s="20"/>
      <c r="AB18" s="20"/>
      <c r="AC18" s="20"/>
      <c r="AD18" s="24">
        <f t="shared" si="0"/>
        <v>180</v>
      </c>
      <c r="AE18" s="97">
        <f t="shared" si="0"/>
        <v>3600000</v>
      </c>
      <c r="AF18" s="20" t="s">
        <v>71</v>
      </c>
      <c r="AG18" s="20" t="s">
        <v>65</v>
      </c>
      <c r="AH18" s="18" t="s">
        <v>72</v>
      </c>
      <c r="AI18" s="18" t="s">
        <v>73</v>
      </c>
      <c r="AJ18" s="43" t="s">
        <v>74</v>
      </c>
      <c r="AK18" s="23"/>
    </row>
    <row r="19" spans="1:37" ht="28.5" x14ac:dyDescent="0.45">
      <c r="A19" s="14">
        <v>15</v>
      </c>
      <c r="B19" s="15" t="s">
        <v>75</v>
      </c>
      <c r="C19" s="16" t="s">
        <v>60</v>
      </c>
      <c r="D19" s="14" t="s">
        <v>31</v>
      </c>
      <c r="E19" s="17" t="s">
        <v>27</v>
      </c>
      <c r="F19" s="19" t="s">
        <v>76</v>
      </c>
      <c r="G19" s="97">
        <v>100</v>
      </c>
      <c r="H19" s="25">
        <v>1900000</v>
      </c>
      <c r="I19" s="19" t="s">
        <v>43</v>
      </c>
      <c r="J19" s="19"/>
      <c r="K19" s="20"/>
      <c r="L19" s="21"/>
      <c r="M19" s="20"/>
      <c r="N19" s="20"/>
      <c r="O19" s="20"/>
      <c r="P19" s="21"/>
      <c r="Q19" s="20"/>
      <c r="R19" s="20"/>
      <c r="S19" s="20"/>
      <c r="T19" s="20"/>
      <c r="U19" s="20"/>
      <c r="V19" s="20"/>
      <c r="W19" s="20"/>
      <c r="X19" s="20"/>
      <c r="Y19" s="20"/>
      <c r="Z19" s="20"/>
      <c r="AA19" s="20"/>
      <c r="AB19" s="20"/>
      <c r="AC19" s="20"/>
      <c r="AD19" s="24">
        <f t="shared" si="0"/>
        <v>100</v>
      </c>
      <c r="AE19" s="97">
        <f t="shared" si="0"/>
        <v>1900000</v>
      </c>
      <c r="AF19" s="20" t="s">
        <v>77</v>
      </c>
      <c r="AG19" s="20">
        <v>1.3</v>
      </c>
      <c r="AH19" s="18" t="s">
        <v>78</v>
      </c>
      <c r="AI19" s="18" t="s">
        <v>79</v>
      </c>
      <c r="AJ19" s="22"/>
      <c r="AK19" s="23"/>
    </row>
    <row r="20" spans="1:37" ht="14.25" customHeight="1" x14ac:dyDescent="0.45">
      <c r="A20" s="14">
        <v>16</v>
      </c>
      <c r="B20" s="15" t="s">
        <v>80</v>
      </c>
      <c r="C20" s="27" t="s">
        <v>81</v>
      </c>
      <c r="D20" s="28" t="s">
        <v>31</v>
      </c>
      <c r="E20" s="17" t="s">
        <v>27</v>
      </c>
      <c r="F20" s="19"/>
      <c r="G20" s="24"/>
      <c r="H20" s="25"/>
      <c r="I20" s="19"/>
      <c r="J20" s="19"/>
      <c r="K20" s="20"/>
      <c r="L20" s="21"/>
      <c r="M20" s="20"/>
      <c r="N20" s="20"/>
      <c r="O20" s="20"/>
      <c r="P20" s="21"/>
      <c r="Q20" s="20"/>
      <c r="R20" s="20"/>
      <c r="S20" s="20"/>
      <c r="T20" s="20"/>
      <c r="U20" s="20"/>
      <c r="V20" s="20"/>
      <c r="W20" s="20"/>
      <c r="X20" s="20"/>
      <c r="Y20" s="20"/>
      <c r="Z20" s="20"/>
      <c r="AA20" s="20"/>
      <c r="AB20" s="20"/>
      <c r="AC20" s="20"/>
      <c r="AD20" s="24">
        <f t="shared" si="0"/>
        <v>0</v>
      </c>
      <c r="AE20" s="97">
        <f t="shared" si="0"/>
        <v>0</v>
      </c>
      <c r="AF20" s="20"/>
      <c r="AG20" s="20"/>
      <c r="AH20" s="18" t="s">
        <v>82</v>
      </c>
      <c r="AI20" s="18"/>
      <c r="AJ20" s="22"/>
      <c r="AK20" s="23"/>
    </row>
    <row r="21" spans="1:37" ht="15.75" customHeight="1" x14ac:dyDescent="0.45">
      <c r="A21" s="14">
        <v>17</v>
      </c>
      <c r="B21" s="15" t="s">
        <v>83</v>
      </c>
      <c r="C21" s="27" t="s">
        <v>81</v>
      </c>
      <c r="D21" s="28" t="s">
        <v>31</v>
      </c>
      <c r="E21" s="17" t="s">
        <v>27</v>
      </c>
      <c r="F21" s="19"/>
      <c r="G21" s="24"/>
      <c r="H21" s="25"/>
      <c r="I21" s="19"/>
      <c r="J21" s="19"/>
      <c r="K21" s="20"/>
      <c r="L21" s="21"/>
      <c r="M21" s="20"/>
      <c r="N21" s="20"/>
      <c r="O21" s="20"/>
      <c r="P21" s="21"/>
      <c r="Q21" s="20"/>
      <c r="R21" s="20"/>
      <c r="S21" s="20"/>
      <c r="T21" s="20"/>
      <c r="U21" s="20"/>
      <c r="V21" s="20"/>
      <c r="W21" s="20"/>
      <c r="X21" s="20"/>
      <c r="Y21" s="20"/>
      <c r="Z21" s="20"/>
      <c r="AA21" s="20"/>
      <c r="AB21" s="20"/>
      <c r="AC21" s="20"/>
      <c r="AD21" s="24">
        <f t="shared" si="0"/>
        <v>0</v>
      </c>
      <c r="AE21" s="97">
        <f t="shared" si="0"/>
        <v>0</v>
      </c>
      <c r="AF21" s="20"/>
      <c r="AG21" s="20"/>
      <c r="AH21" s="18" t="s">
        <v>84</v>
      </c>
      <c r="AI21" s="18"/>
      <c r="AJ21" s="19"/>
      <c r="AK21" s="23"/>
    </row>
    <row r="22" spans="1:37" ht="70.5" customHeight="1" x14ac:dyDescent="0.45">
      <c r="A22" s="14">
        <v>18</v>
      </c>
      <c r="B22" s="15" t="s">
        <v>85</v>
      </c>
      <c r="C22" s="27" t="s">
        <v>81</v>
      </c>
      <c r="D22" s="28" t="s">
        <v>31</v>
      </c>
      <c r="E22" s="17" t="s">
        <v>27</v>
      </c>
      <c r="F22" s="31">
        <v>46132</v>
      </c>
      <c r="G22" s="97">
        <v>350</v>
      </c>
      <c r="H22" s="25">
        <v>7000000</v>
      </c>
      <c r="I22" s="19" t="s">
        <v>86</v>
      </c>
      <c r="J22" s="31">
        <v>46138</v>
      </c>
      <c r="K22" s="20">
        <v>500</v>
      </c>
      <c r="L22" s="21">
        <v>10000000</v>
      </c>
      <c r="M22" s="20" t="s">
        <v>86</v>
      </c>
      <c r="N22" s="20"/>
      <c r="O22" s="20"/>
      <c r="P22" s="21"/>
      <c r="Q22" s="20"/>
      <c r="R22" s="20"/>
      <c r="S22" s="20"/>
      <c r="T22" s="20"/>
      <c r="U22" s="20"/>
      <c r="V22" s="20"/>
      <c r="W22" s="20"/>
      <c r="X22" s="20"/>
      <c r="Y22" s="20"/>
      <c r="Z22" s="20"/>
      <c r="AA22" s="20"/>
      <c r="AB22" s="20"/>
      <c r="AC22" s="20"/>
      <c r="AD22" s="24">
        <f t="shared" si="0"/>
        <v>850</v>
      </c>
      <c r="AE22" s="97">
        <f t="shared" si="0"/>
        <v>17000000</v>
      </c>
      <c r="AF22" s="20"/>
      <c r="AG22" s="20"/>
      <c r="AH22" s="18" t="s">
        <v>87</v>
      </c>
      <c r="AI22" s="18"/>
      <c r="AJ22" s="44" t="s">
        <v>88</v>
      </c>
      <c r="AK22" s="18" t="s">
        <v>89</v>
      </c>
    </row>
    <row r="23" spans="1:37" ht="14.25" customHeight="1" x14ac:dyDescent="0.45">
      <c r="A23" s="14">
        <v>19</v>
      </c>
      <c r="B23" s="15" t="s">
        <v>90</v>
      </c>
      <c r="C23" s="16" t="s">
        <v>91</v>
      </c>
      <c r="D23" s="14" t="s">
        <v>31</v>
      </c>
      <c r="E23" s="17" t="s">
        <v>27</v>
      </c>
      <c r="F23" s="19" t="s">
        <v>92</v>
      </c>
      <c r="G23" s="97">
        <v>325</v>
      </c>
      <c r="H23" s="25">
        <v>7800000</v>
      </c>
      <c r="I23" s="19" t="s">
        <v>93</v>
      </c>
      <c r="J23" s="31">
        <v>46114</v>
      </c>
      <c r="K23" s="20">
        <v>230</v>
      </c>
      <c r="L23" s="21">
        <v>4255000</v>
      </c>
      <c r="M23" s="20" t="s">
        <v>94</v>
      </c>
      <c r="N23" s="45">
        <v>46120</v>
      </c>
      <c r="O23" s="20">
        <v>308</v>
      </c>
      <c r="P23" s="21">
        <v>7238000</v>
      </c>
      <c r="Q23" s="20" t="s">
        <v>93</v>
      </c>
      <c r="R23" s="46">
        <v>46121</v>
      </c>
      <c r="S23" s="20">
        <v>155</v>
      </c>
      <c r="T23" s="21">
        <v>3565000</v>
      </c>
      <c r="U23" s="20" t="s">
        <v>93</v>
      </c>
      <c r="V23" s="20"/>
      <c r="W23" s="20"/>
      <c r="X23" s="20"/>
      <c r="Y23" s="20"/>
      <c r="Z23" s="20"/>
      <c r="AA23" s="20"/>
      <c r="AB23" s="20"/>
      <c r="AC23" s="20"/>
      <c r="AD23" s="24">
        <f t="shared" si="0"/>
        <v>1018</v>
      </c>
      <c r="AE23" s="97">
        <f t="shared" si="0"/>
        <v>22858000</v>
      </c>
      <c r="AF23" s="41">
        <v>0.85</v>
      </c>
      <c r="AG23" s="20"/>
      <c r="AH23" s="18" t="s">
        <v>95</v>
      </c>
      <c r="AI23" s="18"/>
      <c r="AJ23" s="22"/>
      <c r="AK23" s="23"/>
    </row>
    <row r="24" spans="1:37" ht="15.75" customHeight="1" x14ac:dyDescent="0.45">
      <c r="A24" s="14">
        <v>20</v>
      </c>
      <c r="B24" s="15" t="s">
        <v>96</v>
      </c>
      <c r="C24" s="16" t="s">
        <v>91</v>
      </c>
      <c r="D24" s="14" t="s">
        <v>31</v>
      </c>
      <c r="E24" s="17" t="s">
        <v>27</v>
      </c>
      <c r="F24" s="31">
        <v>46117</v>
      </c>
      <c r="G24" s="97">
        <v>200</v>
      </c>
      <c r="H24" s="25">
        <f>200*18000</f>
        <v>3600000</v>
      </c>
      <c r="I24" s="19" t="s">
        <v>36</v>
      </c>
      <c r="J24" s="31">
        <v>46117</v>
      </c>
      <c r="K24" s="20">
        <v>220</v>
      </c>
      <c r="L24" s="21">
        <f>220*18000</f>
        <v>3960000</v>
      </c>
      <c r="M24" s="20" t="s">
        <v>97</v>
      </c>
      <c r="N24" s="20"/>
      <c r="O24" s="20"/>
      <c r="P24" s="21"/>
      <c r="Q24" s="20"/>
      <c r="R24" s="20"/>
      <c r="S24" s="20"/>
      <c r="T24" s="20"/>
      <c r="U24" s="20"/>
      <c r="V24" s="20"/>
      <c r="W24" s="20"/>
      <c r="X24" s="20"/>
      <c r="Y24" s="20"/>
      <c r="Z24" s="20"/>
      <c r="AA24" s="20"/>
      <c r="AB24" s="20"/>
      <c r="AC24" s="20"/>
      <c r="AD24" s="24">
        <f t="shared" si="0"/>
        <v>420</v>
      </c>
      <c r="AE24" s="97">
        <f t="shared" si="0"/>
        <v>7560000</v>
      </c>
      <c r="AF24" s="41">
        <v>0.85</v>
      </c>
      <c r="AG24" s="20"/>
      <c r="AH24" s="18" t="s">
        <v>98</v>
      </c>
      <c r="AI24" s="18"/>
      <c r="AJ24" s="38" t="s">
        <v>99</v>
      </c>
      <c r="AK24" s="23"/>
    </row>
    <row r="25" spans="1:37" ht="15.75" customHeight="1" x14ac:dyDescent="0.45">
      <c r="A25" s="14">
        <v>21</v>
      </c>
      <c r="B25" s="15" t="s">
        <v>100</v>
      </c>
      <c r="C25" s="16" t="s">
        <v>101</v>
      </c>
      <c r="D25" s="14" t="s">
        <v>31</v>
      </c>
      <c r="E25" s="17" t="s">
        <v>24</v>
      </c>
      <c r="F25" s="19"/>
      <c r="G25" s="24"/>
      <c r="H25" s="25"/>
      <c r="I25" s="19"/>
      <c r="J25" s="19"/>
      <c r="K25" s="20"/>
      <c r="L25" s="21"/>
      <c r="M25" s="20"/>
      <c r="N25" s="20"/>
      <c r="O25" s="20"/>
      <c r="P25" s="21"/>
      <c r="Q25" s="20"/>
      <c r="R25" s="20"/>
      <c r="S25" s="20"/>
      <c r="T25" s="20"/>
      <c r="U25" s="20"/>
      <c r="V25" s="20"/>
      <c r="W25" s="20"/>
      <c r="X25" s="20"/>
      <c r="Y25" s="20"/>
      <c r="Z25" s="20"/>
      <c r="AA25" s="20"/>
      <c r="AB25" s="20"/>
      <c r="AC25" s="20"/>
      <c r="AD25" s="24">
        <f t="shared" si="0"/>
        <v>0</v>
      </c>
      <c r="AE25" s="97">
        <f t="shared" si="0"/>
        <v>0</v>
      </c>
      <c r="AF25" s="20"/>
      <c r="AG25" s="20"/>
      <c r="AH25" s="18" t="s">
        <v>102</v>
      </c>
      <c r="AI25" s="18"/>
      <c r="AJ25" s="43" t="s">
        <v>103</v>
      </c>
      <c r="AK25" s="23"/>
    </row>
    <row r="26" spans="1:37" ht="15.75" customHeight="1" x14ac:dyDescent="0.45">
      <c r="A26" s="14">
        <v>22</v>
      </c>
      <c r="B26" s="15" t="s">
        <v>104</v>
      </c>
      <c r="C26" s="16" t="s">
        <v>101</v>
      </c>
      <c r="D26" s="14" t="s">
        <v>31</v>
      </c>
      <c r="E26" s="17" t="s">
        <v>27</v>
      </c>
      <c r="F26" s="42">
        <v>46237</v>
      </c>
      <c r="G26" s="97">
        <v>198</v>
      </c>
      <c r="H26" s="25">
        <v>3663000</v>
      </c>
      <c r="I26" s="19" t="s">
        <v>43</v>
      </c>
      <c r="J26" s="19" t="s">
        <v>61</v>
      </c>
      <c r="K26" s="20">
        <v>273</v>
      </c>
      <c r="L26" s="21">
        <v>5050500</v>
      </c>
      <c r="M26" s="20" t="s">
        <v>43</v>
      </c>
      <c r="N26" s="20"/>
      <c r="O26" s="20"/>
      <c r="P26" s="21"/>
      <c r="Q26" s="20"/>
      <c r="R26" s="41"/>
      <c r="S26" s="41"/>
      <c r="T26" s="41"/>
      <c r="U26" s="41"/>
      <c r="V26" s="41"/>
      <c r="W26" s="41"/>
      <c r="X26" s="41"/>
      <c r="Y26" s="41"/>
      <c r="Z26" s="41"/>
      <c r="AA26" s="41"/>
      <c r="AB26" s="41"/>
      <c r="AC26" s="41"/>
      <c r="AD26" s="24">
        <f t="shared" si="0"/>
        <v>471</v>
      </c>
      <c r="AE26" s="97">
        <f t="shared" si="0"/>
        <v>8713500</v>
      </c>
      <c r="AF26" s="41">
        <v>0.5</v>
      </c>
      <c r="AG26" s="20">
        <v>1</v>
      </c>
      <c r="AH26" s="18" t="s">
        <v>105</v>
      </c>
      <c r="AI26" s="18" t="s">
        <v>106</v>
      </c>
      <c r="AJ26" s="47" t="s">
        <v>107</v>
      </c>
      <c r="AK26" s="23"/>
    </row>
    <row r="27" spans="1:37" ht="15.75" customHeight="1" x14ac:dyDescent="0.45">
      <c r="A27" s="14">
        <v>23</v>
      </c>
      <c r="B27" s="15" t="s">
        <v>108</v>
      </c>
      <c r="C27" s="16" t="s">
        <v>101</v>
      </c>
      <c r="D27" s="14" t="s">
        <v>31</v>
      </c>
      <c r="E27" s="17" t="s">
        <v>27</v>
      </c>
      <c r="F27" s="35" t="s">
        <v>109</v>
      </c>
      <c r="G27" s="97">
        <v>102.5</v>
      </c>
      <c r="H27" s="25">
        <v>1947500</v>
      </c>
      <c r="I27" s="19" t="s">
        <v>43</v>
      </c>
      <c r="J27" s="35" t="s">
        <v>110</v>
      </c>
      <c r="K27" s="20">
        <v>230</v>
      </c>
      <c r="L27" s="21">
        <v>4370000</v>
      </c>
      <c r="M27" s="20" t="s">
        <v>111</v>
      </c>
      <c r="N27" s="36" t="s">
        <v>112</v>
      </c>
      <c r="O27" s="20">
        <v>170</v>
      </c>
      <c r="P27" s="21">
        <v>3230000</v>
      </c>
      <c r="Q27" s="20" t="s">
        <v>93</v>
      </c>
      <c r="R27" s="41"/>
      <c r="S27" s="41"/>
      <c r="T27" s="41"/>
      <c r="U27" s="41"/>
      <c r="V27" s="41"/>
      <c r="W27" s="41"/>
      <c r="X27" s="41"/>
      <c r="Y27" s="41"/>
      <c r="Z27" s="41"/>
      <c r="AA27" s="41"/>
      <c r="AB27" s="41"/>
      <c r="AC27" s="41"/>
      <c r="AD27" s="93">
        <f>G27+K27+O27+S27+W27+AA27</f>
        <v>502.5</v>
      </c>
      <c r="AE27" s="97">
        <f t="shared" si="0"/>
        <v>9547500</v>
      </c>
      <c r="AF27" s="41">
        <v>0.42</v>
      </c>
      <c r="AG27" s="20">
        <v>1.1000000000000001</v>
      </c>
      <c r="AH27" s="18" t="s">
        <v>113</v>
      </c>
      <c r="AI27" s="18" t="s">
        <v>114</v>
      </c>
      <c r="AJ27" s="38" t="s">
        <v>115</v>
      </c>
      <c r="AK27" s="23"/>
    </row>
    <row r="28" spans="1:37" ht="15.75" customHeight="1" x14ac:dyDescent="0.45">
      <c r="A28" s="14">
        <v>24</v>
      </c>
      <c r="B28" s="15" t="s">
        <v>116</v>
      </c>
      <c r="C28" s="27" t="s">
        <v>117</v>
      </c>
      <c r="D28" s="14" t="s">
        <v>31</v>
      </c>
      <c r="E28" s="17" t="s">
        <v>27</v>
      </c>
      <c r="F28" s="42">
        <v>46177</v>
      </c>
      <c r="G28" s="97">
        <v>600</v>
      </c>
      <c r="H28" s="25">
        <v>11400000</v>
      </c>
      <c r="I28" s="19" t="s">
        <v>43</v>
      </c>
      <c r="J28" s="42">
        <v>46207</v>
      </c>
      <c r="K28" s="20">
        <v>911</v>
      </c>
      <c r="L28" s="21">
        <v>17309000</v>
      </c>
      <c r="M28" s="20" t="s">
        <v>43</v>
      </c>
      <c r="N28" s="48">
        <v>46238</v>
      </c>
      <c r="O28" s="20">
        <v>442</v>
      </c>
      <c r="P28" s="21">
        <v>8398000</v>
      </c>
      <c r="Q28" s="20" t="s">
        <v>43</v>
      </c>
      <c r="R28" s="48">
        <v>46269</v>
      </c>
      <c r="S28" s="20">
        <v>309</v>
      </c>
      <c r="T28" s="20">
        <v>5871000</v>
      </c>
      <c r="U28" s="20" t="s">
        <v>43</v>
      </c>
      <c r="V28" s="20"/>
      <c r="W28" s="20"/>
      <c r="X28" s="20"/>
      <c r="Y28" s="20"/>
      <c r="Z28" s="20"/>
      <c r="AA28" s="20"/>
      <c r="AB28" s="20"/>
      <c r="AC28" s="20"/>
      <c r="AD28" s="24">
        <f t="shared" si="0"/>
        <v>2262</v>
      </c>
      <c r="AE28" s="97">
        <f t="shared" si="0"/>
        <v>42978000</v>
      </c>
      <c r="AF28" s="20"/>
      <c r="AG28" s="20"/>
      <c r="AH28" s="18" t="s">
        <v>118</v>
      </c>
      <c r="AI28" s="18" t="s">
        <v>119</v>
      </c>
      <c r="AJ28" s="39" t="s">
        <v>120</v>
      </c>
      <c r="AK28" s="23"/>
    </row>
    <row r="29" spans="1:37" ht="15.75" customHeight="1" x14ac:dyDescent="0.45">
      <c r="A29" s="14">
        <v>25</v>
      </c>
      <c r="B29" s="15" t="s">
        <v>121</v>
      </c>
      <c r="C29" s="16" t="s">
        <v>122</v>
      </c>
      <c r="D29" s="14" t="s">
        <v>31</v>
      </c>
      <c r="E29" s="17" t="s">
        <v>24</v>
      </c>
      <c r="F29" s="18" t="s">
        <v>123</v>
      </c>
      <c r="G29" s="97"/>
      <c r="H29" s="25"/>
      <c r="I29" s="19"/>
      <c r="J29" s="19"/>
      <c r="K29" s="20"/>
      <c r="L29" s="21"/>
      <c r="M29" s="20"/>
      <c r="N29" s="20"/>
      <c r="O29" s="20"/>
      <c r="P29" s="21"/>
      <c r="Q29" s="20"/>
      <c r="R29" s="20"/>
      <c r="S29" s="20"/>
      <c r="T29" s="20"/>
      <c r="U29" s="20"/>
      <c r="V29" s="20"/>
      <c r="W29" s="20"/>
      <c r="X29" s="20"/>
      <c r="Y29" s="20"/>
      <c r="Z29" s="20"/>
      <c r="AA29" s="20"/>
      <c r="AB29" s="20"/>
      <c r="AC29" s="20"/>
      <c r="AD29" s="24">
        <f>G29+K29+O29+S29+W29+AA29</f>
        <v>0</v>
      </c>
      <c r="AE29" s="97">
        <f t="shared" si="0"/>
        <v>0</v>
      </c>
      <c r="AF29" s="20" t="s">
        <v>46</v>
      </c>
      <c r="AG29" s="20" t="s">
        <v>46</v>
      </c>
      <c r="AH29" s="18" t="s">
        <v>124</v>
      </c>
      <c r="AI29" s="18" t="s">
        <v>125</v>
      </c>
      <c r="AJ29" s="39" t="s">
        <v>126</v>
      </c>
      <c r="AK29" s="23"/>
    </row>
    <row r="30" spans="1:37" ht="14.25" customHeight="1" x14ac:dyDescent="0.45">
      <c r="A30" s="14">
        <v>26</v>
      </c>
      <c r="B30" s="15" t="s">
        <v>127</v>
      </c>
      <c r="C30" s="16" t="s">
        <v>122</v>
      </c>
      <c r="D30" s="14" t="s">
        <v>31</v>
      </c>
      <c r="E30" s="17" t="s">
        <v>24</v>
      </c>
      <c r="F30" s="18"/>
      <c r="G30" s="24"/>
      <c r="H30" s="25"/>
      <c r="I30" s="19"/>
      <c r="J30" s="19"/>
      <c r="K30" s="20"/>
      <c r="L30" s="21"/>
      <c r="M30" s="20"/>
      <c r="N30" s="20"/>
      <c r="O30" s="20"/>
      <c r="P30" s="21"/>
      <c r="Q30" s="20"/>
      <c r="R30" s="20"/>
      <c r="S30" s="20"/>
      <c r="T30" s="20"/>
      <c r="U30" s="20"/>
      <c r="V30" s="20"/>
      <c r="W30" s="20"/>
      <c r="X30" s="20"/>
      <c r="Y30" s="20"/>
      <c r="Z30" s="20"/>
      <c r="AA30" s="20"/>
      <c r="AB30" s="20"/>
      <c r="AC30" s="20"/>
      <c r="AD30" s="24">
        <f t="shared" si="0"/>
        <v>0</v>
      </c>
      <c r="AE30" s="97">
        <f t="shared" si="0"/>
        <v>0</v>
      </c>
      <c r="AF30" s="20"/>
      <c r="AG30" s="20"/>
      <c r="AH30" s="18"/>
      <c r="AI30" s="22"/>
      <c r="AJ30" s="22"/>
      <c r="AK30" s="23"/>
    </row>
    <row r="31" spans="1:37" ht="14.25" customHeight="1" x14ac:dyDescent="0.45">
      <c r="A31" s="14">
        <v>27</v>
      </c>
      <c r="B31" s="15" t="s">
        <v>128</v>
      </c>
      <c r="C31" s="16" t="s">
        <v>129</v>
      </c>
      <c r="D31" s="14" t="s">
        <v>31</v>
      </c>
      <c r="E31" s="17" t="s">
        <v>27</v>
      </c>
      <c r="F31" s="31">
        <v>46117</v>
      </c>
      <c r="G31" s="97">
        <v>658</v>
      </c>
      <c r="H31" s="25">
        <f>G31*20000</f>
        <v>13160000</v>
      </c>
      <c r="I31" s="19" t="s">
        <v>36</v>
      </c>
      <c r="J31" s="31">
        <v>46121</v>
      </c>
      <c r="K31" s="20">
        <v>1250</v>
      </c>
      <c r="L31" s="21">
        <f>K31*20000</f>
        <v>25000000</v>
      </c>
      <c r="M31" s="20" t="s">
        <v>43</v>
      </c>
      <c r="N31" s="20" t="s">
        <v>130</v>
      </c>
      <c r="O31" s="20"/>
      <c r="P31" s="20"/>
      <c r="Q31" s="20"/>
      <c r="R31" s="20"/>
      <c r="S31" s="20"/>
      <c r="T31" s="20"/>
      <c r="U31" s="20"/>
      <c r="V31" s="20"/>
      <c r="W31" s="20"/>
      <c r="X31" s="20"/>
      <c r="Y31" s="20"/>
      <c r="Z31" s="20"/>
      <c r="AA31" s="20"/>
      <c r="AB31" s="20"/>
      <c r="AC31" s="20"/>
      <c r="AD31" s="24">
        <f t="shared" si="0"/>
        <v>1908</v>
      </c>
      <c r="AE31" s="97">
        <f t="shared" si="0"/>
        <v>38160000</v>
      </c>
      <c r="AF31" s="41">
        <v>0.5</v>
      </c>
      <c r="AG31" s="20"/>
      <c r="AH31" s="18" t="s">
        <v>131</v>
      </c>
      <c r="AI31" s="22"/>
      <c r="AJ31" s="22"/>
      <c r="AK31" s="23"/>
    </row>
    <row r="32" spans="1:37" ht="14.25" customHeight="1" x14ac:dyDescent="0.45">
      <c r="A32" s="14">
        <v>28</v>
      </c>
      <c r="B32" s="15" t="s">
        <v>132</v>
      </c>
      <c r="C32" s="16" t="s">
        <v>129</v>
      </c>
      <c r="D32" s="14" t="s">
        <v>31</v>
      </c>
      <c r="E32" s="17" t="s">
        <v>27</v>
      </c>
      <c r="F32" s="31">
        <v>46133</v>
      </c>
      <c r="G32" s="97">
        <v>147</v>
      </c>
      <c r="H32" s="25">
        <v>3290000</v>
      </c>
      <c r="I32" s="19" t="s">
        <v>133</v>
      </c>
      <c r="J32" s="19"/>
      <c r="K32" s="20"/>
      <c r="L32" s="21"/>
      <c r="M32" s="20"/>
      <c r="N32" s="20"/>
      <c r="O32" s="20"/>
      <c r="P32" s="21"/>
      <c r="Q32" s="20"/>
      <c r="R32" s="20"/>
      <c r="S32" s="20"/>
      <c r="T32" s="20"/>
      <c r="U32" s="20"/>
      <c r="V32" s="20"/>
      <c r="W32" s="20"/>
      <c r="X32" s="20"/>
      <c r="Y32" s="20"/>
      <c r="Z32" s="20"/>
      <c r="AA32" s="20"/>
      <c r="AB32" s="20"/>
      <c r="AC32" s="20"/>
      <c r="AD32" s="24">
        <f t="shared" si="0"/>
        <v>147</v>
      </c>
      <c r="AE32" s="97">
        <f t="shared" si="0"/>
        <v>3290000</v>
      </c>
      <c r="AF32" s="20"/>
      <c r="AG32" s="20"/>
      <c r="AH32" s="18"/>
      <c r="AI32" s="22"/>
      <c r="AJ32" s="22"/>
      <c r="AK32" s="23"/>
    </row>
    <row r="33" spans="1:37" ht="15.75" customHeight="1" x14ac:dyDescent="0.45">
      <c r="A33" s="14">
        <v>29</v>
      </c>
      <c r="B33" s="15" t="s">
        <v>134</v>
      </c>
      <c r="C33" s="16" t="s">
        <v>129</v>
      </c>
      <c r="D33" s="14" t="s">
        <v>31</v>
      </c>
      <c r="E33" s="17" t="s">
        <v>27</v>
      </c>
      <c r="F33" s="19" t="s">
        <v>135</v>
      </c>
      <c r="G33" s="97">
        <v>444</v>
      </c>
      <c r="H33" s="25">
        <v>8568000</v>
      </c>
      <c r="I33" s="19" t="s">
        <v>129</v>
      </c>
      <c r="J33" s="19" t="s">
        <v>136</v>
      </c>
      <c r="K33" s="20"/>
      <c r="L33" s="21"/>
      <c r="M33" s="20"/>
      <c r="N33" s="20"/>
      <c r="O33" s="20"/>
      <c r="P33" s="21"/>
      <c r="Q33" s="20"/>
      <c r="R33" s="20"/>
      <c r="S33" s="20"/>
      <c r="T33" s="20"/>
      <c r="U33" s="20"/>
      <c r="V33" s="20"/>
      <c r="W33" s="20"/>
      <c r="X33" s="20"/>
      <c r="Y33" s="20"/>
      <c r="Z33" s="20"/>
      <c r="AA33" s="20"/>
      <c r="AB33" s="20"/>
      <c r="AC33" s="20"/>
      <c r="AD33" s="24">
        <f t="shared" si="0"/>
        <v>444</v>
      </c>
      <c r="AE33" s="97">
        <f t="shared" si="0"/>
        <v>8568000</v>
      </c>
      <c r="AF33" s="20"/>
      <c r="AG33" s="20"/>
      <c r="AH33" s="18" t="s">
        <v>137</v>
      </c>
      <c r="AI33" s="22" t="s">
        <v>138</v>
      </c>
      <c r="AJ33" s="38" t="s">
        <v>139</v>
      </c>
      <c r="AK33" s="23"/>
    </row>
    <row r="34" spans="1:37" ht="14.25" customHeight="1" x14ac:dyDescent="0.45">
      <c r="A34" s="14">
        <v>30</v>
      </c>
      <c r="B34" s="15" t="s">
        <v>140</v>
      </c>
      <c r="C34" s="16" t="s">
        <v>129</v>
      </c>
      <c r="D34" s="14" t="s">
        <v>31</v>
      </c>
      <c r="E34" s="17" t="s">
        <v>27</v>
      </c>
      <c r="F34" s="18" t="s">
        <v>141</v>
      </c>
      <c r="G34" s="97">
        <v>431</v>
      </c>
      <c r="H34" s="25">
        <v>8100000</v>
      </c>
      <c r="I34" s="19" t="s">
        <v>129</v>
      </c>
      <c r="J34" s="31">
        <v>46126</v>
      </c>
      <c r="K34" s="20">
        <v>1285</v>
      </c>
      <c r="L34" s="21">
        <v>24700000</v>
      </c>
      <c r="M34" s="20" t="s">
        <v>129</v>
      </c>
      <c r="N34" s="49">
        <v>46147</v>
      </c>
      <c r="O34" s="20"/>
      <c r="P34" s="21"/>
      <c r="Q34" s="20"/>
      <c r="R34" s="20"/>
      <c r="S34" s="20"/>
      <c r="T34" s="20"/>
      <c r="U34" s="20"/>
      <c r="V34" s="20"/>
      <c r="W34" s="20"/>
      <c r="X34" s="20"/>
      <c r="Y34" s="20"/>
      <c r="Z34" s="20"/>
      <c r="AA34" s="20"/>
      <c r="AB34" s="20"/>
      <c r="AC34" s="20"/>
      <c r="AD34" s="24">
        <f t="shared" si="0"/>
        <v>1716</v>
      </c>
      <c r="AE34" s="97">
        <f t="shared" si="0"/>
        <v>32800000</v>
      </c>
      <c r="AF34" s="20"/>
      <c r="AG34" s="20"/>
      <c r="AH34" s="18" t="s">
        <v>142</v>
      </c>
      <c r="AI34" s="22" t="s">
        <v>143</v>
      </c>
      <c r="AJ34" s="22"/>
      <c r="AK34" s="23"/>
    </row>
    <row r="35" spans="1:37" ht="14.25" customHeight="1" x14ac:dyDescent="0.45">
      <c r="A35" s="14">
        <v>31</v>
      </c>
      <c r="B35" s="15" t="s">
        <v>144</v>
      </c>
      <c r="C35" s="27" t="s">
        <v>129</v>
      </c>
      <c r="D35" s="14" t="s">
        <v>31</v>
      </c>
      <c r="E35" s="17" t="s">
        <v>24</v>
      </c>
      <c r="F35" s="18" t="s">
        <v>145</v>
      </c>
      <c r="G35" s="24"/>
      <c r="H35" s="25"/>
      <c r="I35" s="19"/>
      <c r="J35" s="19"/>
      <c r="K35" s="20"/>
      <c r="L35" s="21"/>
      <c r="M35" s="20"/>
      <c r="N35" s="20"/>
      <c r="O35" s="20"/>
      <c r="P35" s="21"/>
      <c r="Q35" s="20"/>
      <c r="R35" s="20"/>
      <c r="S35" s="20"/>
      <c r="T35" s="20"/>
      <c r="U35" s="20"/>
      <c r="V35" s="20"/>
      <c r="W35" s="20"/>
      <c r="X35" s="20"/>
      <c r="Y35" s="20"/>
      <c r="Z35" s="20"/>
      <c r="AA35" s="20"/>
      <c r="AB35" s="20"/>
      <c r="AC35" s="20"/>
      <c r="AD35" s="24">
        <f t="shared" si="0"/>
        <v>0</v>
      </c>
      <c r="AE35" s="97">
        <f t="shared" si="0"/>
        <v>0</v>
      </c>
      <c r="AF35" s="20"/>
      <c r="AG35" s="20"/>
      <c r="AH35" s="18"/>
      <c r="AI35" s="22"/>
      <c r="AJ35" s="22"/>
      <c r="AK35" s="23"/>
    </row>
    <row r="36" spans="1:37" ht="15.75" customHeight="1" x14ac:dyDescent="0.45">
      <c r="A36" s="14">
        <v>32</v>
      </c>
      <c r="B36" s="15" t="s">
        <v>146</v>
      </c>
      <c r="C36" s="16" t="s">
        <v>147</v>
      </c>
      <c r="D36" s="14" t="s">
        <v>31</v>
      </c>
      <c r="E36" s="17" t="s">
        <v>27</v>
      </c>
      <c r="F36" s="19" t="s">
        <v>148</v>
      </c>
      <c r="G36" s="97">
        <v>550</v>
      </c>
      <c r="H36" s="25">
        <f t="shared" ref="H36:H37" si="1">G36*21000</f>
        <v>11550000</v>
      </c>
      <c r="I36" s="19" t="s">
        <v>149</v>
      </c>
      <c r="J36" s="19" t="s">
        <v>150</v>
      </c>
      <c r="K36" s="20"/>
      <c r="L36" s="21"/>
      <c r="M36" s="20"/>
      <c r="N36" s="20"/>
      <c r="O36" s="20"/>
      <c r="P36" s="21"/>
      <c r="Q36" s="20"/>
      <c r="R36" s="41"/>
      <c r="S36" s="41"/>
      <c r="T36" s="41"/>
      <c r="U36" s="41"/>
      <c r="V36" s="41"/>
      <c r="W36" s="41"/>
      <c r="X36" s="41"/>
      <c r="Y36" s="41"/>
      <c r="Z36" s="41"/>
      <c r="AA36" s="41"/>
      <c r="AB36" s="41"/>
      <c r="AC36" s="41"/>
      <c r="AD36" s="24">
        <f t="shared" si="0"/>
        <v>550</v>
      </c>
      <c r="AE36" s="97">
        <f t="shared" si="0"/>
        <v>11550000</v>
      </c>
      <c r="AF36" s="41">
        <v>0.41</v>
      </c>
      <c r="AG36" s="20" t="s">
        <v>65</v>
      </c>
      <c r="AH36" s="18" t="s">
        <v>151</v>
      </c>
      <c r="AI36" s="22" t="s">
        <v>152</v>
      </c>
      <c r="AJ36" s="50" t="s">
        <v>153</v>
      </c>
      <c r="AK36" s="23"/>
    </row>
    <row r="37" spans="1:37" ht="15.75" customHeight="1" x14ac:dyDescent="0.45">
      <c r="A37" s="14">
        <v>33</v>
      </c>
      <c r="B37" s="15" t="s">
        <v>154</v>
      </c>
      <c r="C37" s="16" t="s">
        <v>147</v>
      </c>
      <c r="D37" s="14" t="s">
        <v>31</v>
      </c>
      <c r="E37" s="17"/>
      <c r="F37" s="19" t="s">
        <v>155</v>
      </c>
      <c r="G37" s="97">
        <v>1020</v>
      </c>
      <c r="H37" s="25">
        <f t="shared" si="1"/>
        <v>21420000</v>
      </c>
      <c r="I37" s="19" t="s">
        <v>149</v>
      </c>
      <c r="J37" s="19" t="s">
        <v>156</v>
      </c>
      <c r="K37" s="20">
        <v>500</v>
      </c>
      <c r="L37" s="21">
        <f>K37*21000</f>
        <v>10500000</v>
      </c>
      <c r="M37" s="20" t="s">
        <v>157</v>
      </c>
      <c r="N37" s="51">
        <v>46120</v>
      </c>
      <c r="O37" s="20">
        <v>180</v>
      </c>
      <c r="P37" s="21">
        <f>O37*32000</f>
        <v>5760000</v>
      </c>
      <c r="Q37" s="20" t="s">
        <v>158</v>
      </c>
      <c r="R37" s="41"/>
      <c r="S37" s="41"/>
      <c r="T37" s="41"/>
      <c r="U37" s="41"/>
      <c r="V37" s="41"/>
      <c r="W37" s="41"/>
      <c r="X37" s="41"/>
      <c r="Y37" s="41"/>
      <c r="Z37" s="41"/>
      <c r="AA37" s="41"/>
      <c r="AB37" s="41"/>
      <c r="AC37" s="41"/>
      <c r="AD37" s="24">
        <f t="shared" si="0"/>
        <v>1700</v>
      </c>
      <c r="AE37" s="97">
        <f t="shared" si="0"/>
        <v>37680000</v>
      </c>
      <c r="AF37" s="41">
        <v>0.4</v>
      </c>
      <c r="AG37" s="20" t="s">
        <v>159</v>
      </c>
      <c r="AH37" s="18" t="s">
        <v>160</v>
      </c>
      <c r="AI37" s="22"/>
      <c r="AJ37" s="50" t="s">
        <v>161</v>
      </c>
      <c r="AK37" s="23"/>
    </row>
    <row r="38" spans="1:37" ht="14.25" customHeight="1" x14ac:dyDescent="0.45">
      <c r="A38" s="14">
        <v>34</v>
      </c>
      <c r="B38" s="15" t="s">
        <v>162</v>
      </c>
      <c r="C38" s="16" t="s">
        <v>147</v>
      </c>
      <c r="D38" s="14" t="s">
        <v>31</v>
      </c>
      <c r="E38" s="17" t="s">
        <v>27</v>
      </c>
      <c r="F38" s="42">
        <v>46177</v>
      </c>
      <c r="G38" s="97">
        <v>350</v>
      </c>
      <c r="H38" s="25">
        <v>7000000</v>
      </c>
      <c r="I38" s="19" t="s">
        <v>43</v>
      </c>
      <c r="J38" s="19"/>
      <c r="K38" s="20"/>
      <c r="L38" s="21"/>
      <c r="M38" s="20"/>
      <c r="N38" s="20"/>
      <c r="O38" s="20"/>
      <c r="P38" s="21"/>
      <c r="Q38" s="20"/>
      <c r="R38" s="20"/>
      <c r="S38" s="20"/>
      <c r="T38" s="20"/>
      <c r="U38" s="20"/>
      <c r="V38" s="20"/>
      <c r="W38" s="20"/>
      <c r="X38" s="20"/>
      <c r="Y38" s="20"/>
      <c r="Z38" s="20"/>
      <c r="AA38" s="20"/>
      <c r="AB38" s="20"/>
      <c r="AC38" s="20"/>
      <c r="AD38" s="24">
        <f t="shared" si="0"/>
        <v>350</v>
      </c>
      <c r="AE38" s="97">
        <f t="shared" si="0"/>
        <v>7000000</v>
      </c>
      <c r="AF38" s="20"/>
      <c r="AG38" s="20"/>
      <c r="AH38" s="18"/>
      <c r="AI38" s="22"/>
      <c r="AJ38" s="22"/>
      <c r="AK38" s="23"/>
    </row>
    <row r="39" spans="1:37" ht="15.75" customHeight="1" x14ac:dyDescent="0.45">
      <c r="A39" s="14">
        <v>35</v>
      </c>
      <c r="B39" s="15" t="s">
        <v>163</v>
      </c>
      <c r="C39" s="16" t="s">
        <v>164</v>
      </c>
      <c r="D39" s="14" t="s">
        <v>31</v>
      </c>
      <c r="E39" s="17" t="s">
        <v>24</v>
      </c>
      <c r="F39" s="42"/>
      <c r="G39" s="24"/>
      <c r="H39" s="25"/>
      <c r="I39" s="19"/>
      <c r="J39" s="19"/>
      <c r="K39" s="20"/>
      <c r="L39" s="21"/>
      <c r="M39" s="20"/>
      <c r="N39" s="20"/>
      <c r="O39" s="20"/>
      <c r="P39" s="21"/>
      <c r="Q39" s="20"/>
      <c r="R39" s="20"/>
      <c r="S39" s="20"/>
      <c r="T39" s="20"/>
      <c r="U39" s="20"/>
      <c r="V39" s="20"/>
      <c r="W39" s="20"/>
      <c r="X39" s="20"/>
      <c r="Y39" s="20"/>
      <c r="Z39" s="20"/>
      <c r="AA39" s="20"/>
      <c r="AB39" s="20"/>
      <c r="AC39" s="20"/>
      <c r="AD39" s="24">
        <f t="shared" si="0"/>
        <v>0</v>
      </c>
      <c r="AE39" s="97">
        <f t="shared" si="0"/>
        <v>0</v>
      </c>
      <c r="AF39" s="20"/>
      <c r="AG39" s="20"/>
      <c r="AH39" s="18" t="s">
        <v>165</v>
      </c>
      <c r="AI39" s="22"/>
      <c r="AJ39" s="22"/>
      <c r="AK39" s="23"/>
    </row>
    <row r="40" spans="1:37" ht="42" customHeight="1" x14ac:dyDescent="0.45">
      <c r="A40" s="14">
        <v>36</v>
      </c>
      <c r="B40" s="15" t="s">
        <v>166</v>
      </c>
      <c r="C40" s="16" t="s">
        <v>167</v>
      </c>
      <c r="D40" s="14" t="s">
        <v>31</v>
      </c>
      <c r="E40" s="17" t="s">
        <v>27</v>
      </c>
      <c r="F40" s="19" t="s">
        <v>168</v>
      </c>
      <c r="G40" s="24"/>
      <c r="H40" s="25"/>
      <c r="I40" s="19"/>
      <c r="J40" s="19"/>
      <c r="K40" s="20"/>
      <c r="L40" s="21"/>
      <c r="M40" s="20"/>
      <c r="N40" s="20"/>
      <c r="O40" s="20"/>
      <c r="P40" s="21"/>
      <c r="Q40" s="20"/>
      <c r="R40" s="20"/>
      <c r="S40" s="20"/>
      <c r="T40" s="20"/>
      <c r="U40" s="20"/>
      <c r="V40" s="20"/>
      <c r="W40" s="20"/>
      <c r="X40" s="20"/>
      <c r="Y40" s="20"/>
      <c r="Z40" s="20"/>
      <c r="AA40" s="20"/>
      <c r="AB40" s="20"/>
      <c r="AC40" s="20"/>
      <c r="AD40" s="24">
        <f t="shared" si="0"/>
        <v>0</v>
      </c>
      <c r="AE40" s="97">
        <f t="shared" si="0"/>
        <v>0</v>
      </c>
      <c r="AF40" s="20"/>
      <c r="AG40" s="20"/>
      <c r="AH40" s="18"/>
      <c r="AI40" s="22"/>
      <c r="AJ40" s="22"/>
      <c r="AK40" s="23"/>
    </row>
    <row r="41" spans="1:37" ht="15.75" customHeight="1" x14ac:dyDescent="0.45">
      <c r="A41" s="14">
        <v>37</v>
      </c>
      <c r="B41" s="15" t="s">
        <v>169</v>
      </c>
      <c r="C41" s="16" t="s">
        <v>167</v>
      </c>
      <c r="D41" s="14" t="s">
        <v>31</v>
      </c>
      <c r="E41" s="17" t="s">
        <v>27</v>
      </c>
      <c r="F41" s="19" t="s">
        <v>170</v>
      </c>
      <c r="G41" s="97">
        <v>809</v>
      </c>
      <c r="H41" s="25">
        <v>15371000</v>
      </c>
      <c r="I41" s="19" t="s">
        <v>43</v>
      </c>
      <c r="J41" s="19" t="s">
        <v>171</v>
      </c>
      <c r="K41" s="20">
        <v>458</v>
      </c>
      <c r="L41" s="21">
        <v>8702000</v>
      </c>
      <c r="M41" s="20" t="s">
        <v>43</v>
      </c>
      <c r="N41" s="52">
        <v>46057</v>
      </c>
      <c r="O41" s="20">
        <v>379</v>
      </c>
      <c r="P41" s="21">
        <v>7201000</v>
      </c>
      <c r="Q41" s="20" t="s">
        <v>43</v>
      </c>
      <c r="R41" s="20"/>
      <c r="S41" s="20"/>
      <c r="T41" s="20"/>
      <c r="U41" s="20"/>
      <c r="V41" s="20"/>
      <c r="W41" s="20"/>
      <c r="X41" s="20"/>
      <c r="Y41" s="20"/>
      <c r="Z41" s="20"/>
      <c r="AA41" s="20"/>
      <c r="AB41" s="20"/>
      <c r="AC41" s="20"/>
      <c r="AD41" s="24">
        <f t="shared" si="0"/>
        <v>1646</v>
      </c>
      <c r="AE41" s="97">
        <f t="shared" si="0"/>
        <v>31274000</v>
      </c>
      <c r="AF41" s="20"/>
      <c r="AG41" s="20"/>
      <c r="AH41" s="18" t="s">
        <v>172</v>
      </c>
      <c r="AI41" s="22" t="s">
        <v>173</v>
      </c>
      <c r="AJ41" s="43" t="s">
        <v>174</v>
      </c>
      <c r="AK41" s="23"/>
    </row>
    <row r="42" spans="1:37" ht="14.25" customHeight="1" x14ac:dyDescent="0.45">
      <c r="A42" s="14">
        <v>38</v>
      </c>
      <c r="B42" s="15" t="s">
        <v>175</v>
      </c>
      <c r="C42" s="16" t="s">
        <v>167</v>
      </c>
      <c r="D42" s="14" t="s">
        <v>31</v>
      </c>
      <c r="E42" s="17" t="s">
        <v>27</v>
      </c>
      <c r="F42" s="19"/>
      <c r="G42" s="24"/>
      <c r="H42" s="25"/>
      <c r="I42" s="19"/>
      <c r="J42" s="19"/>
      <c r="K42" s="20"/>
      <c r="L42" s="21"/>
      <c r="M42" s="20"/>
      <c r="N42" s="20"/>
      <c r="O42" s="20"/>
      <c r="P42" s="21"/>
      <c r="Q42" s="20"/>
      <c r="R42" s="20"/>
      <c r="S42" s="20"/>
      <c r="T42" s="20"/>
      <c r="U42" s="20"/>
      <c r="V42" s="20"/>
      <c r="W42" s="20"/>
      <c r="X42" s="20"/>
      <c r="Y42" s="20"/>
      <c r="Z42" s="20"/>
      <c r="AA42" s="20"/>
      <c r="AB42" s="20"/>
      <c r="AC42" s="20"/>
      <c r="AD42" s="24">
        <f t="shared" si="0"/>
        <v>0</v>
      </c>
      <c r="AE42" s="97">
        <f t="shared" si="0"/>
        <v>0</v>
      </c>
      <c r="AF42" s="20"/>
      <c r="AG42" s="20"/>
      <c r="AH42" s="18"/>
      <c r="AI42" s="22"/>
      <c r="AJ42" s="22"/>
      <c r="AK42" s="23"/>
    </row>
    <row r="43" spans="1:37" ht="15.75" customHeight="1" x14ac:dyDescent="0.45">
      <c r="A43" s="14">
        <v>39</v>
      </c>
      <c r="B43" s="15" t="s">
        <v>176</v>
      </c>
      <c r="C43" s="16" t="s">
        <v>167</v>
      </c>
      <c r="D43" s="14" t="s">
        <v>31</v>
      </c>
      <c r="E43" s="17" t="s">
        <v>27</v>
      </c>
      <c r="F43" s="42">
        <v>46177</v>
      </c>
      <c r="G43" s="97">
        <v>70</v>
      </c>
      <c r="H43" s="25">
        <v>1400000</v>
      </c>
      <c r="I43" s="19" t="s">
        <v>43</v>
      </c>
      <c r="J43" s="19" t="s">
        <v>177</v>
      </c>
      <c r="K43" s="20">
        <v>100</v>
      </c>
      <c r="L43" s="21">
        <v>2000000</v>
      </c>
      <c r="M43" s="20" t="s">
        <v>93</v>
      </c>
      <c r="N43" s="20" t="s">
        <v>178</v>
      </c>
      <c r="O43" s="20">
        <v>24</v>
      </c>
      <c r="P43" s="21">
        <v>480000</v>
      </c>
      <c r="Q43" s="20" t="s">
        <v>43</v>
      </c>
      <c r="R43" s="20" t="s">
        <v>179</v>
      </c>
      <c r="S43" s="20">
        <v>100</v>
      </c>
      <c r="T43" s="53">
        <f>S43*19500</f>
        <v>1950000</v>
      </c>
      <c r="U43" s="20" t="s">
        <v>43</v>
      </c>
      <c r="V43" s="20"/>
      <c r="W43" s="20"/>
      <c r="X43" s="20"/>
      <c r="Y43" s="20"/>
      <c r="Z43" s="20"/>
      <c r="AA43" s="20"/>
      <c r="AB43" s="20"/>
      <c r="AC43" s="20"/>
      <c r="AD43" s="24">
        <f t="shared" si="0"/>
        <v>294</v>
      </c>
      <c r="AE43" s="97">
        <f t="shared" si="0"/>
        <v>5830000</v>
      </c>
      <c r="AF43" s="20"/>
      <c r="AG43" s="20"/>
      <c r="AH43" s="18"/>
      <c r="AI43" s="22"/>
      <c r="AJ43" s="44" t="s">
        <v>180</v>
      </c>
      <c r="AK43" s="23"/>
    </row>
    <row r="44" spans="1:37" ht="15.75" customHeight="1" x14ac:dyDescent="0.45">
      <c r="A44" s="14">
        <v>40</v>
      </c>
      <c r="B44" s="15" t="s">
        <v>181</v>
      </c>
      <c r="C44" s="16" t="s">
        <v>182</v>
      </c>
      <c r="D44" s="14" t="s">
        <v>31</v>
      </c>
      <c r="E44" s="17" t="s">
        <v>27</v>
      </c>
      <c r="F44" s="54">
        <v>46057</v>
      </c>
      <c r="G44" s="97">
        <v>355</v>
      </c>
      <c r="H44" s="25">
        <v>7592000</v>
      </c>
      <c r="I44" s="19" t="s">
        <v>43</v>
      </c>
      <c r="J44" s="19" t="s">
        <v>183</v>
      </c>
      <c r="K44" s="20">
        <v>660</v>
      </c>
      <c r="L44" s="21">
        <v>13200000</v>
      </c>
      <c r="M44" s="20" t="s">
        <v>43</v>
      </c>
      <c r="N44" s="46">
        <v>46120</v>
      </c>
      <c r="O44" s="20">
        <v>313</v>
      </c>
      <c r="P44" s="21">
        <v>6260000</v>
      </c>
      <c r="Q44" s="20" t="s">
        <v>184</v>
      </c>
      <c r="R44" s="41"/>
      <c r="S44" s="41"/>
      <c r="T44" s="41"/>
      <c r="U44" s="41"/>
      <c r="V44" s="41"/>
      <c r="W44" s="41"/>
      <c r="X44" s="41"/>
      <c r="Y44" s="41"/>
      <c r="Z44" s="41"/>
      <c r="AA44" s="41"/>
      <c r="AB44" s="41"/>
      <c r="AC44" s="41"/>
      <c r="AD44" s="24">
        <f t="shared" si="0"/>
        <v>1328</v>
      </c>
      <c r="AE44" s="97">
        <f t="shared" si="0"/>
        <v>27052000</v>
      </c>
      <c r="AF44" s="41">
        <v>0.52</v>
      </c>
      <c r="AG44" s="20" t="s">
        <v>185</v>
      </c>
      <c r="AH44" s="18" t="s">
        <v>186</v>
      </c>
      <c r="AI44" s="22" t="s">
        <v>187</v>
      </c>
      <c r="AJ44" s="39" t="s">
        <v>188</v>
      </c>
      <c r="AK44" s="23" t="s">
        <v>189</v>
      </c>
    </row>
    <row r="45" spans="1:37" ht="15.75" customHeight="1" x14ac:dyDescent="0.45">
      <c r="A45" s="14">
        <v>41</v>
      </c>
      <c r="B45" s="15" t="s">
        <v>190</v>
      </c>
      <c r="C45" s="16" t="s">
        <v>191</v>
      </c>
      <c r="D45" s="14" t="s">
        <v>31</v>
      </c>
      <c r="E45" s="17" t="s">
        <v>27</v>
      </c>
      <c r="F45" s="31">
        <v>46115</v>
      </c>
      <c r="G45" s="97">
        <v>213</v>
      </c>
      <c r="H45" s="25">
        <v>4473000</v>
      </c>
      <c r="I45" s="19" t="s">
        <v>192</v>
      </c>
      <c r="J45" s="31">
        <v>46125</v>
      </c>
      <c r="K45" s="20">
        <v>594</v>
      </c>
      <c r="L45" s="21">
        <f>K45*21000</f>
        <v>12474000</v>
      </c>
      <c r="M45" s="20" t="s">
        <v>193</v>
      </c>
      <c r="N45" s="46">
        <v>46126</v>
      </c>
      <c r="O45" s="20">
        <v>514</v>
      </c>
      <c r="P45" s="21">
        <f>O45*21000</f>
        <v>10794000</v>
      </c>
      <c r="Q45" s="20" t="s">
        <v>193</v>
      </c>
      <c r="R45" s="46">
        <v>46128</v>
      </c>
      <c r="S45" s="20">
        <v>130</v>
      </c>
      <c r="T45" s="21">
        <f>S45*21000</f>
        <v>2730000</v>
      </c>
      <c r="U45" s="20" t="s">
        <v>193</v>
      </c>
      <c r="V45" s="45">
        <v>46130</v>
      </c>
      <c r="W45" s="20">
        <v>376</v>
      </c>
      <c r="X45" s="21">
        <f>W45*21000</f>
        <v>7896000</v>
      </c>
      <c r="Y45" s="20" t="s">
        <v>193</v>
      </c>
      <c r="Z45" s="20"/>
      <c r="AA45" s="20"/>
      <c r="AB45" s="20"/>
      <c r="AC45" s="20"/>
      <c r="AD45" s="24">
        <f t="shared" si="0"/>
        <v>1827</v>
      </c>
      <c r="AE45" s="97">
        <f t="shared" si="0"/>
        <v>38367000</v>
      </c>
      <c r="AF45" s="20" t="s">
        <v>194</v>
      </c>
      <c r="AG45" s="20"/>
      <c r="AH45" s="18" t="s">
        <v>195</v>
      </c>
      <c r="AI45" s="22" t="s">
        <v>196</v>
      </c>
      <c r="AJ45" s="50" t="s">
        <v>197</v>
      </c>
      <c r="AK45" s="55" t="s">
        <v>198</v>
      </c>
    </row>
    <row r="46" spans="1:37" ht="14.25" customHeight="1" x14ac:dyDescent="0.45">
      <c r="A46" s="14">
        <v>42</v>
      </c>
      <c r="B46" s="15" t="s">
        <v>199</v>
      </c>
      <c r="C46" s="16" t="s">
        <v>200</v>
      </c>
      <c r="D46" s="14" t="s">
        <v>31</v>
      </c>
      <c r="E46" s="17" t="s">
        <v>27</v>
      </c>
      <c r="F46" s="56">
        <v>46360</v>
      </c>
      <c r="G46" s="97">
        <v>56</v>
      </c>
      <c r="H46" s="25">
        <f>G46*22000</f>
        <v>1232000</v>
      </c>
      <c r="I46" s="19" t="s">
        <v>43</v>
      </c>
      <c r="J46" s="19"/>
      <c r="K46" s="20"/>
      <c r="L46" s="21"/>
      <c r="M46" s="20"/>
      <c r="N46" s="20"/>
      <c r="O46" s="20"/>
      <c r="P46" s="21"/>
      <c r="Q46" s="20"/>
      <c r="R46" s="20"/>
      <c r="S46" s="20"/>
      <c r="T46" s="20"/>
      <c r="U46" s="20"/>
      <c r="V46" s="20"/>
      <c r="W46" s="20"/>
      <c r="X46" s="20"/>
      <c r="Y46" s="20"/>
      <c r="Z46" s="20"/>
      <c r="AA46" s="20"/>
      <c r="AB46" s="20"/>
      <c r="AC46" s="20"/>
      <c r="AD46" s="24">
        <f t="shared" si="0"/>
        <v>56</v>
      </c>
      <c r="AE46" s="97">
        <f t="shared" si="0"/>
        <v>1232000</v>
      </c>
      <c r="AF46" s="20"/>
      <c r="AG46" s="20"/>
      <c r="AH46" s="18" t="s">
        <v>201</v>
      </c>
      <c r="AI46" s="22"/>
      <c r="AJ46" s="57" t="s">
        <v>202</v>
      </c>
      <c r="AK46" s="23"/>
    </row>
    <row r="47" spans="1:37" ht="14.25" customHeight="1" x14ac:dyDescent="0.45">
      <c r="A47" s="14">
        <v>43</v>
      </c>
      <c r="B47" s="15" t="s">
        <v>203</v>
      </c>
      <c r="C47" s="16" t="s">
        <v>200</v>
      </c>
      <c r="D47" s="14" t="s">
        <v>31</v>
      </c>
      <c r="E47" s="17" t="s">
        <v>27</v>
      </c>
      <c r="F47" s="31">
        <v>46119</v>
      </c>
      <c r="G47" s="97">
        <v>100</v>
      </c>
      <c r="H47" s="25">
        <v>1900000</v>
      </c>
      <c r="I47" s="19" t="s">
        <v>36</v>
      </c>
      <c r="J47" s="19"/>
      <c r="K47" s="20"/>
      <c r="L47" s="21"/>
      <c r="M47" s="20"/>
      <c r="N47" s="20"/>
      <c r="O47" s="20"/>
      <c r="P47" s="21"/>
      <c r="Q47" s="20"/>
      <c r="R47" s="20"/>
      <c r="S47" s="20"/>
      <c r="T47" s="20"/>
      <c r="U47" s="20"/>
      <c r="V47" s="20"/>
      <c r="W47" s="20"/>
      <c r="X47" s="20"/>
      <c r="Y47" s="20"/>
      <c r="Z47" s="20"/>
      <c r="AA47" s="20"/>
      <c r="AB47" s="20"/>
      <c r="AC47" s="20"/>
      <c r="AD47" s="24">
        <f t="shared" si="0"/>
        <v>100</v>
      </c>
      <c r="AE47" s="97">
        <f t="shared" si="0"/>
        <v>1900000</v>
      </c>
      <c r="AF47" s="20"/>
      <c r="AG47" s="20"/>
      <c r="AH47" s="18"/>
      <c r="AI47" s="22"/>
      <c r="AJ47" s="22"/>
      <c r="AK47" s="23"/>
    </row>
    <row r="48" spans="1:37" ht="14.25" customHeight="1" x14ac:dyDescent="0.45">
      <c r="A48" s="14">
        <v>44</v>
      </c>
      <c r="B48" s="15" t="s">
        <v>204</v>
      </c>
      <c r="C48" s="16" t="s">
        <v>205</v>
      </c>
      <c r="D48" s="14" t="s">
        <v>31</v>
      </c>
      <c r="E48" s="17" t="s">
        <v>27</v>
      </c>
      <c r="F48" s="31">
        <v>46123</v>
      </c>
      <c r="G48" s="97">
        <v>255</v>
      </c>
      <c r="H48" s="25">
        <v>5355000</v>
      </c>
      <c r="I48" s="19" t="s">
        <v>43</v>
      </c>
      <c r="J48" s="31">
        <v>46134</v>
      </c>
      <c r="K48" s="20">
        <v>691</v>
      </c>
      <c r="L48" s="21">
        <f>K48*21000</f>
        <v>14511000</v>
      </c>
      <c r="M48" s="20" t="s">
        <v>43</v>
      </c>
      <c r="N48" s="20"/>
      <c r="O48" s="20"/>
      <c r="P48" s="21"/>
      <c r="Q48" s="20"/>
      <c r="R48" s="20"/>
      <c r="S48" s="20"/>
      <c r="T48" s="20"/>
      <c r="U48" s="20"/>
      <c r="V48" s="20"/>
      <c r="W48" s="20"/>
      <c r="X48" s="20"/>
      <c r="Y48" s="20"/>
      <c r="Z48" s="20"/>
      <c r="AA48" s="20"/>
      <c r="AB48" s="20"/>
      <c r="AC48" s="20"/>
      <c r="AD48" s="24">
        <f t="shared" si="0"/>
        <v>946</v>
      </c>
      <c r="AE48" s="97">
        <f t="shared" si="0"/>
        <v>19866000</v>
      </c>
      <c r="AF48" s="20"/>
      <c r="AG48" s="20"/>
      <c r="AH48" s="18"/>
      <c r="AI48" s="22"/>
      <c r="AJ48" s="44" t="s">
        <v>206</v>
      </c>
      <c r="AK48" s="23"/>
    </row>
    <row r="49" spans="1:37" ht="15.75" customHeight="1" x14ac:dyDescent="0.45">
      <c r="A49" s="14">
        <v>45</v>
      </c>
      <c r="B49" s="15" t="s">
        <v>207</v>
      </c>
      <c r="C49" s="16" t="s">
        <v>205</v>
      </c>
      <c r="D49" s="14" t="s">
        <v>31</v>
      </c>
      <c r="E49" s="17" t="s">
        <v>27</v>
      </c>
      <c r="F49" s="19"/>
      <c r="G49" s="24"/>
      <c r="H49" s="25"/>
      <c r="I49" s="19"/>
      <c r="J49" s="19"/>
      <c r="K49" s="20"/>
      <c r="L49" s="21"/>
      <c r="M49" s="20"/>
      <c r="N49" s="20"/>
      <c r="O49" s="20"/>
      <c r="P49" s="21"/>
      <c r="Q49" s="20"/>
      <c r="R49" s="20"/>
      <c r="S49" s="20"/>
      <c r="T49" s="20"/>
      <c r="U49" s="20"/>
      <c r="V49" s="20"/>
      <c r="W49" s="20"/>
      <c r="X49" s="20"/>
      <c r="Y49" s="20"/>
      <c r="Z49" s="20"/>
      <c r="AA49" s="20"/>
      <c r="AB49" s="20"/>
      <c r="AC49" s="20"/>
      <c r="AD49" s="24">
        <f t="shared" si="0"/>
        <v>0</v>
      </c>
      <c r="AE49" s="97">
        <f t="shared" si="0"/>
        <v>0</v>
      </c>
      <c r="AF49" s="20"/>
      <c r="AG49" s="20"/>
      <c r="AH49" s="18" t="s">
        <v>208</v>
      </c>
      <c r="AI49" s="22"/>
      <c r="AJ49" s="22"/>
      <c r="AK49" s="23"/>
    </row>
    <row r="50" spans="1:37" ht="15.75" customHeight="1" x14ac:dyDescent="0.45">
      <c r="A50" s="14">
        <v>46</v>
      </c>
      <c r="B50" s="15" t="s">
        <v>209</v>
      </c>
      <c r="C50" s="16" t="s">
        <v>205</v>
      </c>
      <c r="D50" s="14" t="s">
        <v>31</v>
      </c>
      <c r="E50" s="17" t="s">
        <v>27</v>
      </c>
      <c r="F50" s="19"/>
      <c r="G50" s="24"/>
      <c r="H50" s="25"/>
      <c r="I50" s="19"/>
      <c r="J50" s="19"/>
      <c r="K50" s="20"/>
      <c r="L50" s="21"/>
      <c r="M50" s="20"/>
      <c r="N50" s="20"/>
      <c r="O50" s="20"/>
      <c r="P50" s="21"/>
      <c r="Q50" s="20"/>
      <c r="R50" s="20"/>
      <c r="S50" s="20"/>
      <c r="T50" s="20"/>
      <c r="U50" s="20"/>
      <c r="V50" s="20"/>
      <c r="W50" s="20"/>
      <c r="X50" s="20"/>
      <c r="Y50" s="20"/>
      <c r="Z50" s="20"/>
      <c r="AA50" s="20"/>
      <c r="AB50" s="20"/>
      <c r="AC50" s="20"/>
      <c r="AD50" s="24">
        <f t="shared" si="0"/>
        <v>0</v>
      </c>
      <c r="AE50" s="97">
        <f t="shared" si="0"/>
        <v>0</v>
      </c>
      <c r="AF50" s="20"/>
      <c r="AG50" s="20"/>
      <c r="AH50" s="18"/>
      <c r="AI50" s="22"/>
      <c r="AJ50" s="22"/>
      <c r="AK50" s="23"/>
    </row>
    <row r="51" spans="1:37" ht="14.25" customHeight="1" x14ac:dyDescent="0.45">
      <c r="A51" s="14">
        <v>47</v>
      </c>
      <c r="B51" s="15" t="s">
        <v>210</v>
      </c>
      <c r="C51" s="27" t="s">
        <v>211</v>
      </c>
      <c r="D51" s="28" t="s">
        <v>31</v>
      </c>
      <c r="E51" s="29" t="s">
        <v>27</v>
      </c>
      <c r="F51" s="19"/>
      <c r="G51" s="24"/>
      <c r="H51" s="25"/>
      <c r="I51" s="19"/>
      <c r="J51" s="19"/>
      <c r="K51" s="20"/>
      <c r="L51" s="21"/>
      <c r="M51" s="20"/>
      <c r="N51" s="20"/>
      <c r="O51" s="20"/>
      <c r="P51" s="21"/>
      <c r="Q51" s="20"/>
      <c r="R51" s="20"/>
      <c r="S51" s="20"/>
      <c r="T51" s="20"/>
      <c r="U51" s="20"/>
      <c r="V51" s="20"/>
      <c r="W51" s="20"/>
      <c r="X51" s="20"/>
      <c r="Y51" s="20"/>
      <c r="Z51" s="20"/>
      <c r="AA51" s="20"/>
      <c r="AB51" s="20"/>
      <c r="AC51" s="20"/>
      <c r="AD51" s="24">
        <f t="shared" si="0"/>
        <v>0</v>
      </c>
      <c r="AE51" s="97">
        <f t="shared" si="0"/>
        <v>0</v>
      </c>
      <c r="AF51" s="20"/>
      <c r="AG51" s="20"/>
      <c r="AH51" s="18"/>
      <c r="AI51" s="22"/>
      <c r="AJ51" s="22"/>
      <c r="AK51" s="23"/>
    </row>
    <row r="52" spans="1:37" ht="15.75" customHeight="1" x14ac:dyDescent="0.45">
      <c r="A52" s="14">
        <v>48</v>
      </c>
      <c r="B52" s="15" t="s">
        <v>212</v>
      </c>
      <c r="C52" s="16" t="s">
        <v>213</v>
      </c>
      <c r="D52" s="14" t="s">
        <v>214</v>
      </c>
      <c r="E52" s="17" t="s">
        <v>27</v>
      </c>
      <c r="F52" s="35" t="s">
        <v>70</v>
      </c>
      <c r="G52" s="97">
        <v>30</v>
      </c>
      <c r="H52" s="25">
        <v>630000</v>
      </c>
      <c r="I52" s="19" t="s">
        <v>36</v>
      </c>
      <c r="J52" s="19"/>
      <c r="K52" s="20"/>
      <c r="L52" s="21"/>
      <c r="M52" s="20"/>
      <c r="N52" s="20"/>
      <c r="O52" s="20"/>
      <c r="P52" s="21"/>
      <c r="Q52" s="20"/>
      <c r="R52" s="20"/>
      <c r="S52" s="20"/>
      <c r="T52" s="20"/>
      <c r="U52" s="20"/>
      <c r="V52" s="20"/>
      <c r="W52" s="20"/>
      <c r="X52" s="20"/>
      <c r="Y52" s="20"/>
      <c r="Z52" s="20"/>
      <c r="AA52" s="20"/>
      <c r="AB52" s="20"/>
      <c r="AC52" s="20"/>
      <c r="AD52" s="24">
        <f t="shared" si="0"/>
        <v>30</v>
      </c>
      <c r="AE52" s="97">
        <f t="shared" si="0"/>
        <v>630000</v>
      </c>
      <c r="AF52" s="41"/>
      <c r="AG52" s="20"/>
      <c r="AH52" s="18"/>
      <c r="AI52" s="22"/>
      <c r="AJ52" s="58"/>
      <c r="AK52" s="23"/>
    </row>
    <row r="53" spans="1:37" ht="15.75" customHeight="1" x14ac:dyDescent="0.45">
      <c r="A53" s="14">
        <v>49</v>
      </c>
      <c r="B53" s="15" t="s">
        <v>215</v>
      </c>
      <c r="C53" s="16" t="s">
        <v>216</v>
      </c>
      <c r="D53" s="14" t="s">
        <v>214</v>
      </c>
      <c r="E53" s="17" t="s">
        <v>27</v>
      </c>
      <c r="F53" s="19"/>
      <c r="G53" s="97"/>
      <c r="H53" s="25"/>
      <c r="I53" s="19"/>
      <c r="J53" s="19"/>
      <c r="K53" s="20"/>
      <c r="L53" s="21"/>
      <c r="M53" s="20"/>
      <c r="N53" s="20"/>
      <c r="O53" s="20"/>
      <c r="P53" s="21"/>
      <c r="Q53" s="20"/>
      <c r="R53" s="20"/>
      <c r="S53" s="20"/>
      <c r="T53" s="20"/>
      <c r="U53" s="20"/>
      <c r="V53" s="20"/>
      <c r="W53" s="20"/>
      <c r="X53" s="20"/>
      <c r="Y53" s="20"/>
      <c r="Z53" s="20"/>
      <c r="AA53" s="20"/>
      <c r="AB53" s="20"/>
      <c r="AC53" s="20"/>
      <c r="AD53" s="24">
        <f t="shared" si="0"/>
        <v>0</v>
      </c>
      <c r="AE53" s="97">
        <f t="shared" si="0"/>
        <v>0</v>
      </c>
      <c r="AF53" s="20" t="s">
        <v>46</v>
      </c>
      <c r="AG53" s="20" t="s">
        <v>46</v>
      </c>
      <c r="AH53" s="18" t="s">
        <v>217</v>
      </c>
      <c r="AI53" s="22" t="s">
        <v>218</v>
      </c>
      <c r="AJ53" s="22" t="s">
        <v>46</v>
      </c>
      <c r="AK53" s="23"/>
    </row>
    <row r="54" spans="1:37" ht="15.75" customHeight="1" x14ac:dyDescent="0.45">
      <c r="A54" s="14">
        <v>50</v>
      </c>
      <c r="B54" s="15" t="s">
        <v>219</v>
      </c>
      <c r="C54" s="16" t="s">
        <v>220</v>
      </c>
      <c r="D54" s="14" t="s">
        <v>214</v>
      </c>
      <c r="E54" s="17" t="s">
        <v>27</v>
      </c>
      <c r="F54" s="19" t="s">
        <v>221</v>
      </c>
      <c r="G54" s="95">
        <v>1458.8</v>
      </c>
      <c r="H54" s="25">
        <v>26312000</v>
      </c>
      <c r="I54" s="19" t="s">
        <v>43</v>
      </c>
      <c r="J54" s="19" t="s">
        <v>222</v>
      </c>
      <c r="K54" s="20">
        <v>360</v>
      </c>
      <c r="L54" s="21">
        <v>6480000</v>
      </c>
      <c r="M54" s="20" t="s">
        <v>43</v>
      </c>
      <c r="N54" s="20" t="s">
        <v>223</v>
      </c>
      <c r="O54" s="20">
        <v>2275</v>
      </c>
      <c r="P54" s="21">
        <v>22950000</v>
      </c>
      <c r="Q54" s="20" t="s">
        <v>224</v>
      </c>
      <c r="R54" s="41"/>
      <c r="S54" s="41"/>
      <c r="T54" s="41"/>
      <c r="U54" s="41"/>
      <c r="V54" s="41"/>
      <c r="W54" s="41"/>
      <c r="X54" s="41"/>
      <c r="Y54" s="41"/>
      <c r="Z54" s="41"/>
      <c r="AA54" s="41"/>
      <c r="AB54" s="41"/>
      <c r="AC54" s="41"/>
      <c r="AD54" s="24">
        <f t="shared" si="0"/>
        <v>4093.8</v>
      </c>
      <c r="AE54" s="97">
        <f t="shared" si="0"/>
        <v>55742000</v>
      </c>
      <c r="AF54" s="41">
        <v>0.88</v>
      </c>
      <c r="AG54" s="20" t="s">
        <v>225</v>
      </c>
      <c r="AH54" s="18" t="s">
        <v>226</v>
      </c>
      <c r="AI54" s="22"/>
      <c r="AJ54" s="22"/>
      <c r="AK54" s="23"/>
    </row>
    <row r="55" spans="1:37" ht="14.25" customHeight="1" x14ac:dyDescent="0.45">
      <c r="A55" s="14">
        <v>51</v>
      </c>
      <c r="B55" s="15" t="s">
        <v>227</v>
      </c>
      <c r="C55" s="16" t="s">
        <v>220</v>
      </c>
      <c r="D55" s="14" t="s">
        <v>214</v>
      </c>
      <c r="E55" s="17" t="s">
        <v>27</v>
      </c>
      <c r="F55" s="31">
        <v>46118</v>
      </c>
      <c r="G55" s="97">
        <v>565</v>
      </c>
      <c r="H55" s="25">
        <v>10170000</v>
      </c>
      <c r="I55" s="19" t="s">
        <v>36</v>
      </c>
      <c r="J55" s="19"/>
      <c r="K55" s="20"/>
      <c r="L55" s="21"/>
      <c r="M55" s="20"/>
      <c r="N55" s="20"/>
      <c r="O55" s="20"/>
      <c r="P55" s="21"/>
      <c r="Q55" s="20"/>
      <c r="R55" s="20"/>
      <c r="S55" s="20"/>
      <c r="T55" s="20"/>
      <c r="U55" s="20"/>
      <c r="V55" s="20"/>
      <c r="W55" s="20"/>
      <c r="X55" s="20"/>
      <c r="Y55" s="20"/>
      <c r="Z55" s="20"/>
      <c r="AA55" s="20"/>
      <c r="AB55" s="20"/>
      <c r="AC55" s="20"/>
      <c r="AD55" s="24">
        <f t="shared" si="0"/>
        <v>565</v>
      </c>
      <c r="AE55" s="97">
        <f t="shared" si="0"/>
        <v>10170000</v>
      </c>
      <c r="AF55" s="20"/>
      <c r="AG55" s="20"/>
      <c r="AH55" s="18"/>
      <c r="AI55" s="22"/>
      <c r="AJ55" s="22"/>
      <c r="AK55" s="23"/>
    </row>
    <row r="56" spans="1:37" ht="45" customHeight="1" x14ac:dyDescent="0.45">
      <c r="A56" s="14">
        <v>52</v>
      </c>
      <c r="B56" s="15" t="s">
        <v>228</v>
      </c>
      <c r="C56" s="16" t="s">
        <v>220</v>
      </c>
      <c r="D56" s="14" t="s">
        <v>214</v>
      </c>
      <c r="E56" s="17" t="s">
        <v>27</v>
      </c>
      <c r="F56" s="19" t="s">
        <v>229</v>
      </c>
      <c r="G56" s="97">
        <v>853</v>
      </c>
      <c r="H56" s="25">
        <f>G56*18000</f>
        <v>15354000</v>
      </c>
      <c r="I56" s="19" t="s">
        <v>230</v>
      </c>
      <c r="J56" s="31">
        <v>46119</v>
      </c>
      <c r="K56" s="20">
        <v>1159</v>
      </c>
      <c r="L56" s="21">
        <f>K56*18000</f>
        <v>20862000</v>
      </c>
      <c r="M56" s="20" t="s">
        <v>216</v>
      </c>
      <c r="N56" s="20" t="s">
        <v>53</v>
      </c>
      <c r="O56" s="20"/>
      <c r="P56" s="21"/>
      <c r="Q56" s="20"/>
      <c r="R56" s="20"/>
      <c r="S56" s="20"/>
      <c r="T56" s="20"/>
      <c r="U56" s="20"/>
      <c r="V56" s="20"/>
      <c r="W56" s="20"/>
      <c r="X56" s="20"/>
      <c r="Y56" s="20"/>
      <c r="Z56" s="20"/>
      <c r="AA56" s="20"/>
      <c r="AB56" s="20"/>
      <c r="AC56" s="20"/>
      <c r="AD56" s="24">
        <f t="shared" si="0"/>
        <v>2012</v>
      </c>
      <c r="AE56" s="97">
        <f t="shared" si="0"/>
        <v>36216000</v>
      </c>
      <c r="AF56" s="41">
        <v>0.9</v>
      </c>
      <c r="AG56" s="20" t="s">
        <v>231</v>
      </c>
      <c r="AH56" s="18" t="s">
        <v>232</v>
      </c>
      <c r="AI56" s="22" t="s">
        <v>233</v>
      </c>
      <c r="AJ56" s="59" t="s">
        <v>234</v>
      </c>
      <c r="AK56" s="23" t="s">
        <v>235</v>
      </c>
    </row>
    <row r="57" spans="1:37" ht="15.75" customHeight="1" x14ac:dyDescent="0.45">
      <c r="A57" s="14">
        <v>53</v>
      </c>
      <c r="B57" s="15" t="s">
        <v>236</v>
      </c>
      <c r="C57" s="16" t="s">
        <v>237</v>
      </c>
      <c r="D57" s="14" t="s">
        <v>214</v>
      </c>
      <c r="E57" s="17" t="s">
        <v>27</v>
      </c>
      <c r="F57" s="18" t="s">
        <v>238</v>
      </c>
      <c r="G57" s="24"/>
      <c r="H57" s="25"/>
      <c r="I57" s="19" t="s">
        <v>43</v>
      </c>
      <c r="J57" s="19"/>
      <c r="K57" s="20"/>
      <c r="L57" s="21"/>
      <c r="M57" s="20"/>
      <c r="N57" s="20"/>
      <c r="O57" s="20"/>
      <c r="P57" s="21"/>
      <c r="Q57" s="20"/>
      <c r="R57" s="20"/>
      <c r="S57" s="20"/>
      <c r="T57" s="20"/>
      <c r="U57" s="20"/>
      <c r="V57" s="20"/>
      <c r="W57" s="20"/>
      <c r="X57" s="20"/>
      <c r="Y57" s="20"/>
      <c r="Z57" s="20"/>
      <c r="AA57" s="20"/>
      <c r="AB57" s="20"/>
      <c r="AC57" s="20"/>
      <c r="AD57" s="24">
        <f t="shared" si="0"/>
        <v>0</v>
      </c>
      <c r="AE57" s="97">
        <f t="shared" si="0"/>
        <v>0</v>
      </c>
      <c r="AF57" s="20"/>
      <c r="AG57" s="20"/>
      <c r="AH57" s="18"/>
      <c r="AI57" s="60" t="s">
        <v>239</v>
      </c>
      <c r="AJ57" s="39" t="s">
        <v>240</v>
      </c>
      <c r="AK57" s="23"/>
    </row>
    <row r="58" spans="1:37" ht="15.75" customHeight="1" x14ac:dyDescent="0.45">
      <c r="A58" s="14">
        <v>54</v>
      </c>
      <c r="B58" s="15" t="s">
        <v>241</v>
      </c>
      <c r="C58" s="16" t="s">
        <v>242</v>
      </c>
      <c r="D58" s="14" t="s">
        <v>214</v>
      </c>
      <c r="E58" s="17" t="s">
        <v>27</v>
      </c>
      <c r="F58" s="31">
        <v>46114</v>
      </c>
      <c r="G58" s="97">
        <v>200</v>
      </c>
      <c r="H58" s="25">
        <v>3800000</v>
      </c>
      <c r="I58" s="19" t="s">
        <v>62</v>
      </c>
      <c r="J58" s="31">
        <v>46115</v>
      </c>
      <c r="K58" s="20">
        <v>520</v>
      </c>
      <c r="L58" s="21">
        <v>9880000</v>
      </c>
      <c r="M58" s="20" t="s">
        <v>43</v>
      </c>
      <c r="N58" s="45">
        <v>46116</v>
      </c>
      <c r="O58" s="20">
        <v>1000</v>
      </c>
      <c r="P58" s="21">
        <v>19000000</v>
      </c>
      <c r="Q58" s="20" t="s">
        <v>43</v>
      </c>
      <c r="R58" s="20"/>
      <c r="S58" s="20"/>
      <c r="T58" s="20"/>
      <c r="U58" s="20"/>
      <c r="V58" s="20"/>
      <c r="W58" s="20"/>
      <c r="X58" s="20"/>
      <c r="Y58" s="20"/>
      <c r="Z58" s="20"/>
      <c r="AA58" s="20"/>
      <c r="AB58" s="20"/>
      <c r="AC58" s="20"/>
      <c r="AD58" s="24">
        <f t="shared" si="0"/>
        <v>1720</v>
      </c>
      <c r="AE58" s="97">
        <f t="shared" si="0"/>
        <v>32680000</v>
      </c>
      <c r="AF58" s="20"/>
      <c r="AG58" s="20"/>
      <c r="AH58" s="18" t="s">
        <v>243</v>
      </c>
      <c r="AI58" s="22" t="s">
        <v>244</v>
      </c>
      <c r="AJ58" s="61" t="s">
        <v>245</v>
      </c>
      <c r="AK58" s="23"/>
    </row>
    <row r="59" spans="1:37" ht="15.75" customHeight="1" x14ac:dyDescent="0.45">
      <c r="A59" s="14">
        <v>55</v>
      </c>
      <c r="B59" s="15" t="s">
        <v>246</v>
      </c>
      <c r="C59" s="16" t="s">
        <v>242</v>
      </c>
      <c r="D59" s="14" t="s">
        <v>214</v>
      </c>
      <c r="E59" s="17" t="s">
        <v>27</v>
      </c>
      <c r="F59" s="31">
        <v>46119</v>
      </c>
      <c r="G59" s="97">
        <v>635</v>
      </c>
      <c r="H59" s="25">
        <v>12065000</v>
      </c>
      <c r="I59" s="19" t="s">
        <v>62</v>
      </c>
      <c r="J59" s="31">
        <v>46120</v>
      </c>
      <c r="K59" s="20">
        <v>205</v>
      </c>
      <c r="L59" s="21">
        <v>3997500</v>
      </c>
      <c r="M59" s="20" t="s">
        <v>247</v>
      </c>
      <c r="N59" s="20"/>
      <c r="O59" s="20"/>
      <c r="P59" s="21"/>
      <c r="Q59" s="20"/>
      <c r="R59" s="20"/>
      <c r="S59" s="20"/>
      <c r="T59" s="20"/>
      <c r="U59" s="20"/>
      <c r="V59" s="20"/>
      <c r="W59" s="20"/>
      <c r="X59" s="20"/>
      <c r="Y59" s="20"/>
      <c r="Z59" s="20"/>
      <c r="AA59" s="20"/>
      <c r="AB59" s="20"/>
      <c r="AC59" s="20"/>
      <c r="AD59" s="24">
        <f t="shared" si="0"/>
        <v>840</v>
      </c>
      <c r="AE59" s="97">
        <f t="shared" si="0"/>
        <v>16062500</v>
      </c>
      <c r="AF59" s="20"/>
      <c r="AG59" s="20"/>
      <c r="AH59" s="18" t="s">
        <v>248</v>
      </c>
      <c r="AI59" s="22" t="s">
        <v>244</v>
      </c>
      <c r="AJ59" s="22"/>
      <c r="AK59" s="23"/>
    </row>
    <row r="60" spans="1:37" ht="14.25" customHeight="1" x14ac:dyDescent="0.45">
      <c r="A60" s="14">
        <v>56</v>
      </c>
      <c r="B60" s="15" t="s">
        <v>249</v>
      </c>
      <c r="C60" s="16" t="s">
        <v>250</v>
      </c>
      <c r="D60" s="14" t="s">
        <v>214</v>
      </c>
      <c r="E60" s="17" t="s">
        <v>27</v>
      </c>
      <c r="F60" s="19"/>
      <c r="G60" s="24"/>
      <c r="H60" s="25"/>
      <c r="I60" s="19"/>
      <c r="J60" s="19"/>
      <c r="K60" s="20"/>
      <c r="L60" s="21"/>
      <c r="M60" s="20"/>
      <c r="N60" s="20"/>
      <c r="O60" s="20"/>
      <c r="P60" s="21"/>
      <c r="Q60" s="20"/>
      <c r="R60" s="20"/>
      <c r="S60" s="20"/>
      <c r="T60" s="20"/>
      <c r="U60" s="20"/>
      <c r="V60" s="20"/>
      <c r="W60" s="20"/>
      <c r="X60" s="20"/>
      <c r="Y60" s="20"/>
      <c r="Z60" s="20"/>
      <c r="AA60" s="20"/>
      <c r="AB60" s="20"/>
      <c r="AC60" s="20"/>
      <c r="AD60" s="24">
        <f t="shared" si="0"/>
        <v>0</v>
      </c>
      <c r="AE60" s="97">
        <f t="shared" si="0"/>
        <v>0</v>
      </c>
      <c r="AF60" s="20"/>
      <c r="AG60" s="20"/>
      <c r="AH60" s="18"/>
      <c r="AI60" s="22"/>
      <c r="AJ60" s="22"/>
      <c r="AK60" s="23"/>
    </row>
    <row r="61" spans="1:37" ht="17.25" customHeight="1" x14ac:dyDescent="0.45">
      <c r="A61" s="14">
        <v>57</v>
      </c>
      <c r="B61" s="15" t="s">
        <v>251</v>
      </c>
      <c r="C61" s="16" t="s">
        <v>252</v>
      </c>
      <c r="D61" s="14" t="s">
        <v>214</v>
      </c>
      <c r="E61" s="17" t="s">
        <v>27</v>
      </c>
      <c r="F61" s="19"/>
      <c r="G61" s="97"/>
      <c r="H61" s="25"/>
      <c r="I61" s="19"/>
      <c r="J61" s="19"/>
      <c r="K61" s="20"/>
      <c r="L61" s="21"/>
      <c r="M61" s="20"/>
      <c r="N61" s="20"/>
      <c r="O61" s="20"/>
      <c r="P61" s="21"/>
      <c r="Q61" s="20"/>
      <c r="R61" s="20"/>
      <c r="S61" s="20"/>
      <c r="T61" s="20"/>
      <c r="U61" s="20"/>
      <c r="V61" s="20"/>
      <c r="W61" s="20"/>
      <c r="X61" s="20"/>
      <c r="Y61" s="20"/>
      <c r="Z61" s="20"/>
      <c r="AA61" s="20"/>
      <c r="AB61" s="20"/>
      <c r="AC61" s="20"/>
      <c r="AD61" s="24">
        <f t="shared" si="0"/>
        <v>0</v>
      </c>
      <c r="AE61" s="97">
        <f t="shared" si="0"/>
        <v>0</v>
      </c>
      <c r="AF61" s="20" t="s">
        <v>46</v>
      </c>
      <c r="AG61" s="20" t="s">
        <v>46</v>
      </c>
      <c r="AH61" s="18" t="s">
        <v>253</v>
      </c>
      <c r="AI61" s="22" t="s">
        <v>46</v>
      </c>
      <c r="AJ61" s="22" t="s">
        <v>46</v>
      </c>
      <c r="AK61" s="23"/>
    </row>
    <row r="62" spans="1:37" ht="15.75" customHeight="1" x14ac:dyDescent="0.45">
      <c r="A62" s="14">
        <v>58</v>
      </c>
      <c r="B62" s="15" t="s">
        <v>254</v>
      </c>
      <c r="C62" s="16" t="s">
        <v>252</v>
      </c>
      <c r="D62" s="14" t="s">
        <v>214</v>
      </c>
      <c r="E62" s="17" t="s">
        <v>27</v>
      </c>
      <c r="F62" s="35"/>
      <c r="G62" s="99"/>
      <c r="H62" s="34"/>
      <c r="I62" s="35"/>
      <c r="J62" s="35"/>
      <c r="K62" s="36"/>
      <c r="L62" s="37"/>
      <c r="M62" s="36"/>
      <c r="N62" s="36"/>
      <c r="O62" s="36"/>
      <c r="P62" s="37"/>
      <c r="Q62" s="36"/>
      <c r="R62" s="20"/>
      <c r="S62" s="20"/>
      <c r="T62" s="20"/>
      <c r="U62" s="20"/>
      <c r="V62" s="20"/>
      <c r="W62" s="20"/>
      <c r="X62" s="20"/>
      <c r="Y62" s="20"/>
      <c r="Z62" s="20"/>
      <c r="AA62" s="20"/>
      <c r="AB62" s="20"/>
      <c r="AC62" s="20"/>
      <c r="AD62" s="24">
        <f t="shared" si="0"/>
        <v>0</v>
      </c>
      <c r="AE62" s="97">
        <f t="shared" si="0"/>
        <v>0</v>
      </c>
      <c r="AF62" s="36" t="s">
        <v>46</v>
      </c>
      <c r="AG62" s="36" t="s">
        <v>46</v>
      </c>
      <c r="AH62" s="18"/>
      <c r="AI62" s="22"/>
      <c r="AJ62" s="22"/>
      <c r="AK62" s="23"/>
    </row>
    <row r="63" spans="1:37" ht="15.75" customHeight="1" x14ac:dyDescent="0.45">
      <c r="A63" s="14">
        <v>59</v>
      </c>
      <c r="B63" s="15" t="s">
        <v>255</v>
      </c>
      <c r="C63" s="16" t="s">
        <v>256</v>
      </c>
      <c r="D63" s="14" t="s">
        <v>214</v>
      </c>
      <c r="E63" s="17" t="s">
        <v>27</v>
      </c>
      <c r="F63" s="56">
        <v>46026</v>
      </c>
      <c r="G63" s="97">
        <v>300</v>
      </c>
      <c r="H63" s="25">
        <v>7200000</v>
      </c>
      <c r="I63" s="19" t="s">
        <v>93</v>
      </c>
      <c r="J63" s="31">
        <v>46118</v>
      </c>
      <c r="K63" s="20">
        <v>137</v>
      </c>
      <c r="L63" s="21">
        <v>3288000</v>
      </c>
      <c r="M63" s="36"/>
      <c r="N63" s="36"/>
      <c r="O63" s="36"/>
      <c r="P63" s="37"/>
      <c r="Q63" s="36"/>
      <c r="R63" s="20"/>
      <c r="S63" s="20"/>
      <c r="T63" s="20"/>
      <c r="U63" s="20"/>
      <c r="V63" s="20"/>
      <c r="W63" s="20"/>
      <c r="X63" s="20"/>
      <c r="Y63" s="20"/>
      <c r="Z63" s="20"/>
      <c r="AA63" s="20"/>
      <c r="AB63" s="20"/>
      <c r="AC63" s="20"/>
      <c r="AD63" s="24">
        <f t="shared" si="0"/>
        <v>437</v>
      </c>
      <c r="AE63" s="97">
        <f t="shared" si="0"/>
        <v>10488000</v>
      </c>
      <c r="AF63" s="41">
        <v>0.75</v>
      </c>
      <c r="AG63" s="20" t="s">
        <v>185</v>
      </c>
      <c r="AH63" s="18" t="s">
        <v>257</v>
      </c>
      <c r="AI63" s="22" t="s">
        <v>258</v>
      </c>
      <c r="AJ63" s="38" t="s">
        <v>259</v>
      </c>
      <c r="AK63" s="23"/>
    </row>
    <row r="64" spans="1:37" ht="15.75" customHeight="1" x14ac:dyDescent="0.45">
      <c r="A64" s="14">
        <v>60</v>
      </c>
      <c r="B64" s="15" t="s">
        <v>100</v>
      </c>
      <c r="C64" s="16" t="s">
        <v>256</v>
      </c>
      <c r="D64" s="14" t="s">
        <v>214</v>
      </c>
      <c r="E64" s="17" t="s">
        <v>27</v>
      </c>
      <c r="F64" s="18"/>
      <c r="G64" s="24"/>
      <c r="H64" s="25"/>
      <c r="I64" s="19"/>
      <c r="J64" s="19"/>
      <c r="K64" s="20"/>
      <c r="L64" s="21"/>
      <c r="M64" s="20"/>
      <c r="N64" s="20"/>
      <c r="O64" s="20"/>
      <c r="P64" s="21"/>
      <c r="Q64" s="20"/>
      <c r="R64" s="20"/>
      <c r="S64" s="20"/>
      <c r="T64" s="20"/>
      <c r="U64" s="20"/>
      <c r="V64" s="20"/>
      <c r="W64" s="20"/>
      <c r="X64" s="20"/>
      <c r="Y64" s="20"/>
      <c r="Z64" s="20"/>
      <c r="AA64" s="20"/>
      <c r="AB64" s="20"/>
      <c r="AC64" s="20"/>
      <c r="AD64" s="24">
        <f t="shared" si="0"/>
        <v>0</v>
      </c>
      <c r="AE64" s="97">
        <f t="shared" si="0"/>
        <v>0</v>
      </c>
      <c r="AF64" s="20"/>
      <c r="AG64" s="20"/>
      <c r="AH64" s="18" t="s">
        <v>260</v>
      </c>
      <c r="AI64" s="22"/>
      <c r="AJ64" s="22"/>
      <c r="AK64" s="23"/>
    </row>
    <row r="65" spans="1:37" ht="15.75" customHeight="1" x14ac:dyDescent="0.45">
      <c r="A65" s="14">
        <v>61</v>
      </c>
      <c r="B65" s="15" t="s">
        <v>261</v>
      </c>
      <c r="C65" s="16" t="s">
        <v>262</v>
      </c>
      <c r="D65" s="14" t="s">
        <v>214</v>
      </c>
      <c r="E65" s="17" t="s">
        <v>27</v>
      </c>
      <c r="F65" s="19" t="s">
        <v>141</v>
      </c>
      <c r="G65" s="97">
        <v>194</v>
      </c>
      <c r="H65" s="25">
        <v>3686000</v>
      </c>
      <c r="I65" s="19" t="s">
        <v>43</v>
      </c>
      <c r="J65" s="19" t="s">
        <v>222</v>
      </c>
      <c r="K65" s="20">
        <v>102</v>
      </c>
      <c r="L65" s="21">
        <v>1938000</v>
      </c>
      <c r="M65" s="20" t="s">
        <v>43</v>
      </c>
      <c r="N65" s="20" t="s">
        <v>263</v>
      </c>
      <c r="O65" s="20">
        <v>784</v>
      </c>
      <c r="P65" s="21">
        <v>14896000</v>
      </c>
      <c r="Q65" s="20" t="s">
        <v>43</v>
      </c>
      <c r="R65" s="20"/>
      <c r="S65" s="20"/>
      <c r="T65" s="20"/>
      <c r="U65" s="20"/>
      <c r="V65" s="20"/>
      <c r="W65" s="20"/>
      <c r="X65" s="20"/>
      <c r="Y65" s="20"/>
      <c r="Z65" s="20"/>
      <c r="AA65" s="20"/>
      <c r="AB65" s="20"/>
      <c r="AC65" s="20"/>
      <c r="AD65" s="24">
        <f t="shared" si="0"/>
        <v>1080</v>
      </c>
      <c r="AE65" s="97">
        <f t="shared" si="0"/>
        <v>20520000</v>
      </c>
      <c r="AF65" s="20"/>
      <c r="AG65" s="20"/>
      <c r="AH65" s="18" t="s">
        <v>264</v>
      </c>
      <c r="AI65" s="22"/>
      <c r="AJ65" s="22"/>
      <c r="AK65" s="23"/>
    </row>
    <row r="66" spans="1:37" ht="15.75" customHeight="1" x14ac:dyDescent="0.45">
      <c r="A66" s="14">
        <v>62</v>
      </c>
      <c r="B66" s="15" t="s">
        <v>265</v>
      </c>
      <c r="C66" s="16" t="s">
        <v>266</v>
      </c>
      <c r="D66" s="14" t="s">
        <v>214</v>
      </c>
      <c r="E66" s="17" t="s">
        <v>27</v>
      </c>
      <c r="F66" s="18" t="s">
        <v>267</v>
      </c>
      <c r="G66" s="97">
        <v>600</v>
      </c>
      <c r="H66" s="25">
        <f>600*19000</f>
        <v>11400000</v>
      </c>
      <c r="I66" s="19" t="s">
        <v>268</v>
      </c>
      <c r="J66" s="19"/>
      <c r="K66" s="20"/>
      <c r="L66" s="21"/>
      <c r="M66" s="20"/>
      <c r="N66" s="20"/>
      <c r="O66" s="20"/>
      <c r="P66" s="21"/>
      <c r="Q66" s="20"/>
      <c r="R66" s="20"/>
      <c r="S66" s="20"/>
      <c r="T66" s="20"/>
      <c r="U66" s="20"/>
      <c r="V66" s="20"/>
      <c r="W66" s="20"/>
      <c r="X66" s="20"/>
      <c r="Y66" s="20"/>
      <c r="Z66" s="20"/>
      <c r="AA66" s="20"/>
      <c r="AB66" s="20"/>
      <c r="AC66" s="20"/>
      <c r="AD66" s="24">
        <f t="shared" si="0"/>
        <v>600</v>
      </c>
      <c r="AE66" s="97">
        <f t="shared" si="0"/>
        <v>11400000</v>
      </c>
      <c r="AF66" s="20"/>
      <c r="AG66" s="20"/>
      <c r="AH66" s="18" t="s">
        <v>269</v>
      </c>
      <c r="AI66" s="22" t="s">
        <v>270</v>
      </c>
      <c r="AJ66" s="57" t="s">
        <v>271</v>
      </c>
      <c r="AK66" s="23"/>
    </row>
    <row r="67" spans="1:37" ht="14.25" customHeight="1" x14ac:dyDescent="0.45">
      <c r="A67" s="14">
        <v>63</v>
      </c>
      <c r="B67" s="15" t="s">
        <v>272</v>
      </c>
      <c r="C67" s="16" t="s">
        <v>273</v>
      </c>
      <c r="D67" s="14" t="s">
        <v>214</v>
      </c>
      <c r="E67" s="17" t="s">
        <v>27</v>
      </c>
      <c r="F67" s="18"/>
      <c r="G67" s="24"/>
      <c r="H67" s="25"/>
      <c r="I67" s="19"/>
      <c r="J67" s="19"/>
      <c r="K67" s="20"/>
      <c r="L67" s="21"/>
      <c r="M67" s="20"/>
      <c r="N67" s="20"/>
      <c r="O67" s="20"/>
      <c r="P67" s="21"/>
      <c r="Q67" s="20"/>
      <c r="R67" s="20"/>
      <c r="S67" s="20"/>
      <c r="T67" s="20"/>
      <c r="U67" s="20"/>
      <c r="V67" s="20"/>
      <c r="W67" s="20"/>
      <c r="X67" s="20"/>
      <c r="Y67" s="20"/>
      <c r="Z67" s="20"/>
      <c r="AA67" s="20"/>
      <c r="AB67" s="20"/>
      <c r="AC67" s="20"/>
      <c r="AD67" s="24">
        <f t="shared" si="0"/>
        <v>0</v>
      </c>
      <c r="AE67" s="97">
        <f t="shared" si="0"/>
        <v>0</v>
      </c>
      <c r="AF67" s="20"/>
      <c r="AG67" s="20"/>
      <c r="AH67" s="18"/>
      <c r="AI67" s="22"/>
      <c r="AJ67" s="22"/>
      <c r="AK67" s="23"/>
    </row>
    <row r="68" spans="1:37" ht="14.25" customHeight="1" x14ac:dyDescent="0.45">
      <c r="A68" s="14">
        <v>64</v>
      </c>
      <c r="B68" s="15" t="s">
        <v>274</v>
      </c>
      <c r="C68" s="16" t="s">
        <v>273</v>
      </c>
      <c r="D68" s="14" t="s">
        <v>214</v>
      </c>
      <c r="E68" s="17" t="s">
        <v>27</v>
      </c>
      <c r="F68" s="18"/>
      <c r="G68" s="24"/>
      <c r="H68" s="25"/>
      <c r="I68" s="19"/>
      <c r="J68" s="19"/>
      <c r="K68" s="20"/>
      <c r="L68" s="21"/>
      <c r="M68" s="20"/>
      <c r="N68" s="20"/>
      <c r="O68" s="20"/>
      <c r="P68" s="21"/>
      <c r="Q68" s="20"/>
      <c r="R68" s="20"/>
      <c r="S68" s="20"/>
      <c r="T68" s="20"/>
      <c r="U68" s="20"/>
      <c r="V68" s="20"/>
      <c r="W68" s="20"/>
      <c r="X68" s="20"/>
      <c r="Y68" s="20"/>
      <c r="Z68" s="20"/>
      <c r="AA68" s="20"/>
      <c r="AB68" s="20"/>
      <c r="AC68" s="20"/>
      <c r="AD68" s="24">
        <f t="shared" si="0"/>
        <v>0</v>
      </c>
      <c r="AE68" s="97">
        <f t="shared" si="0"/>
        <v>0</v>
      </c>
      <c r="AF68" s="20"/>
      <c r="AG68" s="20"/>
      <c r="AH68" s="18"/>
      <c r="AI68" s="22"/>
      <c r="AJ68" s="22"/>
      <c r="AK68" s="23"/>
    </row>
    <row r="69" spans="1:37" ht="14.25" x14ac:dyDescent="0.45">
      <c r="A69" s="14">
        <v>65</v>
      </c>
      <c r="B69" s="15" t="s">
        <v>275</v>
      </c>
      <c r="C69" s="16" t="s">
        <v>273</v>
      </c>
      <c r="D69" s="14" t="s">
        <v>214</v>
      </c>
      <c r="E69" s="17" t="s">
        <v>27</v>
      </c>
      <c r="F69" s="18" t="s">
        <v>276</v>
      </c>
      <c r="G69" s="97">
        <v>250</v>
      </c>
      <c r="H69" s="100">
        <v>4500000</v>
      </c>
      <c r="I69" s="19" t="s">
        <v>93</v>
      </c>
      <c r="J69" s="19" t="s">
        <v>229</v>
      </c>
      <c r="K69" s="20">
        <v>835</v>
      </c>
      <c r="L69" s="21">
        <v>14612500</v>
      </c>
      <c r="M69" s="20" t="s">
        <v>93</v>
      </c>
      <c r="N69" s="20" t="s">
        <v>277</v>
      </c>
      <c r="O69" s="20"/>
      <c r="P69" s="21"/>
      <c r="Q69" s="20"/>
      <c r="R69" s="20"/>
      <c r="S69" s="20"/>
      <c r="T69" s="20"/>
      <c r="U69" s="20"/>
      <c r="V69" s="20"/>
      <c r="W69" s="20"/>
      <c r="X69" s="20"/>
      <c r="Y69" s="20"/>
      <c r="Z69" s="20"/>
      <c r="AA69" s="20"/>
      <c r="AB69" s="20"/>
      <c r="AC69" s="20"/>
      <c r="AD69" s="24">
        <f t="shared" si="0"/>
        <v>1085</v>
      </c>
      <c r="AE69" s="97">
        <f>H69+L69+P69+T69+X69+AB69</f>
        <v>19112500</v>
      </c>
      <c r="AF69" s="20"/>
      <c r="AG69" s="20"/>
      <c r="AH69" s="18" t="s">
        <v>278</v>
      </c>
      <c r="AI69" s="22"/>
      <c r="AJ69" s="22"/>
      <c r="AK69" s="23"/>
    </row>
    <row r="70" spans="1:37" ht="15.75" customHeight="1" x14ac:dyDescent="0.45">
      <c r="A70" s="14">
        <v>66</v>
      </c>
      <c r="B70" s="15" t="s">
        <v>279</v>
      </c>
      <c r="C70" s="16" t="s">
        <v>273</v>
      </c>
      <c r="D70" s="14" t="s">
        <v>214</v>
      </c>
      <c r="E70" s="17" t="s">
        <v>27</v>
      </c>
      <c r="F70" s="19" t="s">
        <v>229</v>
      </c>
      <c r="G70" s="97">
        <v>431</v>
      </c>
      <c r="H70" s="25">
        <v>6680500</v>
      </c>
      <c r="I70" s="19" t="s">
        <v>43</v>
      </c>
      <c r="J70" s="62">
        <v>46115</v>
      </c>
      <c r="K70" s="20">
        <v>100</v>
      </c>
      <c r="L70" s="21">
        <v>1850000</v>
      </c>
      <c r="M70" s="20" t="s">
        <v>43</v>
      </c>
      <c r="N70" s="46">
        <v>46116</v>
      </c>
      <c r="O70" s="20">
        <v>188</v>
      </c>
      <c r="P70" s="21">
        <v>5264000</v>
      </c>
      <c r="Q70" s="20" t="s">
        <v>43</v>
      </c>
      <c r="R70" s="46">
        <v>46121</v>
      </c>
      <c r="S70" s="20">
        <v>139</v>
      </c>
      <c r="T70" s="20">
        <v>4088000</v>
      </c>
      <c r="U70" s="20" t="s">
        <v>43</v>
      </c>
      <c r="V70" s="20"/>
      <c r="W70" s="20"/>
      <c r="X70" s="20"/>
      <c r="Y70" s="20"/>
      <c r="Z70" s="20"/>
      <c r="AA70" s="20"/>
      <c r="AB70" s="20"/>
      <c r="AC70" s="20"/>
      <c r="AD70" s="24">
        <f t="shared" ref="AD70:AE97" si="2">G70+K70+O70+S70+W70+AA70</f>
        <v>858</v>
      </c>
      <c r="AE70" s="97">
        <f t="shared" si="2"/>
        <v>17882500</v>
      </c>
      <c r="AF70" s="20"/>
      <c r="AG70" s="20"/>
      <c r="AH70" s="18" t="s">
        <v>278</v>
      </c>
      <c r="AI70" s="22" t="s">
        <v>280</v>
      </c>
      <c r="AJ70" s="44" t="s">
        <v>281</v>
      </c>
      <c r="AK70" s="23"/>
    </row>
    <row r="71" spans="1:37" ht="18.75" customHeight="1" x14ac:dyDescent="0.45">
      <c r="A71" s="14">
        <v>67</v>
      </c>
      <c r="B71" s="15" t="s">
        <v>282</v>
      </c>
      <c r="C71" s="16" t="s">
        <v>283</v>
      </c>
      <c r="D71" s="14" t="s">
        <v>214</v>
      </c>
      <c r="E71" s="17" t="s">
        <v>27</v>
      </c>
      <c r="F71" s="31">
        <v>46122</v>
      </c>
      <c r="G71" s="97">
        <v>883</v>
      </c>
      <c r="H71" s="25">
        <v>16573000</v>
      </c>
      <c r="I71" s="19" t="s">
        <v>43</v>
      </c>
      <c r="J71" s="19"/>
      <c r="K71" s="20"/>
      <c r="L71" s="21"/>
      <c r="M71" s="20"/>
      <c r="N71" s="20"/>
      <c r="O71" s="20"/>
      <c r="P71" s="21"/>
      <c r="Q71" s="20"/>
      <c r="R71" s="20"/>
      <c r="S71" s="20"/>
      <c r="T71" s="20"/>
      <c r="U71" s="20"/>
      <c r="V71" s="20"/>
      <c r="W71" s="20"/>
      <c r="X71" s="20"/>
      <c r="Y71" s="20"/>
      <c r="Z71" s="20"/>
      <c r="AA71" s="20"/>
      <c r="AB71" s="20"/>
      <c r="AC71" s="20"/>
      <c r="AD71" s="24">
        <f t="shared" si="2"/>
        <v>883</v>
      </c>
      <c r="AE71" s="97">
        <f t="shared" si="2"/>
        <v>16573000</v>
      </c>
      <c r="AF71" s="20" t="s">
        <v>46</v>
      </c>
      <c r="AG71" s="20" t="s">
        <v>46</v>
      </c>
      <c r="AH71" s="18" t="s">
        <v>284</v>
      </c>
      <c r="AI71" s="22" t="s">
        <v>285</v>
      </c>
      <c r="AJ71" s="57" t="s">
        <v>286</v>
      </c>
      <c r="AK71" s="23"/>
    </row>
    <row r="72" spans="1:37" ht="15.75" customHeight="1" x14ac:dyDescent="0.45">
      <c r="A72" s="14">
        <v>68</v>
      </c>
      <c r="B72" s="15" t="s">
        <v>287</v>
      </c>
      <c r="C72" s="16" t="s">
        <v>288</v>
      </c>
      <c r="D72" s="14" t="s">
        <v>214</v>
      </c>
      <c r="E72" s="17" t="s">
        <v>27</v>
      </c>
      <c r="F72" s="63">
        <v>46118</v>
      </c>
      <c r="G72" s="97">
        <v>360</v>
      </c>
      <c r="H72" s="25">
        <v>6890000</v>
      </c>
      <c r="I72" s="19" t="s">
        <v>36</v>
      </c>
      <c r="J72" s="63">
        <v>46119</v>
      </c>
      <c r="K72" s="20">
        <v>977</v>
      </c>
      <c r="L72" s="21">
        <v>18563000</v>
      </c>
      <c r="M72" s="20" t="s">
        <v>49</v>
      </c>
      <c r="N72" s="51">
        <v>46120</v>
      </c>
      <c r="O72" s="20">
        <v>249</v>
      </c>
      <c r="P72" s="21">
        <v>4731000</v>
      </c>
      <c r="Q72" s="20" t="s">
        <v>36</v>
      </c>
      <c r="R72" s="20"/>
      <c r="S72" s="20"/>
      <c r="T72" s="20"/>
      <c r="U72" s="20"/>
      <c r="V72" s="20"/>
      <c r="W72" s="20"/>
      <c r="X72" s="20"/>
      <c r="Y72" s="20"/>
      <c r="Z72" s="20"/>
      <c r="AA72" s="20"/>
      <c r="AB72" s="20"/>
      <c r="AC72" s="20"/>
      <c r="AD72" s="24">
        <f t="shared" si="2"/>
        <v>1586</v>
      </c>
      <c r="AE72" s="97">
        <f t="shared" si="2"/>
        <v>30184000</v>
      </c>
      <c r="AF72" s="20" t="s">
        <v>289</v>
      </c>
      <c r="AG72" s="20" t="s">
        <v>290</v>
      </c>
      <c r="AH72" s="18" t="s">
        <v>278</v>
      </c>
      <c r="AI72" s="22" t="s">
        <v>291</v>
      </c>
      <c r="AJ72" s="38" t="s">
        <v>292</v>
      </c>
      <c r="AK72" s="23"/>
    </row>
    <row r="73" spans="1:37" ht="15.75" customHeight="1" x14ac:dyDescent="0.45">
      <c r="A73" s="14">
        <v>69</v>
      </c>
      <c r="B73" s="15" t="s">
        <v>293</v>
      </c>
      <c r="C73" s="64" t="s">
        <v>288</v>
      </c>
      <c r="D73" s="65" t="s">
        <v>214</v>
      </c>
      <c r="E73" s="17" t="s">
        <v>27</v>
      </c>
      <c r="F73" s="19" t="s">
        <v>294</v>
      </c>
      <c r="G73" s="97">
        <v>386</v>
      </c>
      <c r="H73" s="25">
        <v>6893960</v>
      </c>
      <c r="I73" s="19" t="s">
        <v>36</v>
      </c>
      <c r="J73" s="19" t="s">
        <v>295</v>
      </c>
      <c r="K73" s="20">
        <v>299</v>
      </c>
      <c r="L73" s="21">
        <v>5058000</v>
      </c>
      <c r="M73" s="20" t="s">
        <v>36</v>
      </c>
      <c r="N73" s="20" t="s">
        <v>296</v>
      </c>
      <c r="O73" s="20">
        <v>427</v>
      </c>
      <c r="P73" s="21">
        <v>7218000</v>
      </c>
      <c r="Q73" s="66"/>
      <c r="R73" s="20" t="s">
        <v>297</v>
      </c>
      <c r="S73" s="20">
        <v>372</v>
      </c>
      <c r="T73" s="21">
        <v>6282000</v>
      </c>
      <c r="U73" s="20"/>
      <c r="V73" s="67">
        <v>46117</v>
      </c>
      <c r="W73" s="19">
        <v>390</v>
      </c>
      <c r="X73" s="68">
        <v>6588000</v>
      </c>
      <c r="Y73" s="20"/>
      <c r="Z73" s="45">
        <v>46118</v>
      </c>
      <c r="AA73" s="20">
        <v>374</v>
      </c>
      <c r="AB73" s="21">
        <v>6339000</v>
      </c>
      <c r="AC73" s="20"/>
      <c r="AD73" s="24">
        <f t="shared" si="2"/>
        <v>2248</v>
      </c>
      <c r="AE73" s="97">
        <f t="shared" si="2"/>
        <v>38378960</v>
      </c>
      <c r="AF73" s="66"/>
      <c r="AG73" s="66"/>
      <c r="AH73" s="69"/>
      <c r="AI73" s="66"/>
      <c r="AJ73" s="70" t="s">
        <v>298</v>
      </c>
      <c r="AK73" s="23"/>
    </row>
    <row r="74" spans="1:37" ht="15.75" customHeight="1" x14ac:dyDescent="0.45">
      <c r="A74" s="14">
        <v>70</v>
      </c>
      <c r="B74" s="15" t="s">
        <v>299</v>
      </c>
      <c r="C74" s="64" t="s">
        <v>288</v>
      </c>
      <c r="D74" s="65" t="s">
        <v>214</v>
      </c>
      <c r="E74" s="17" t="s">
        <v>27</v>
      </c>
      <c r="F74" s="19" t="s">
        <v>141</v>
      </c>
      <c r="G74" s="97">
        <v>1511</v>
      </c>
      <c r="H74" s="25">
        <v>27953500</v>
      </c>
      <c r="I74" s="19" t="s">
        <v>300</v>
      </c>
      <c r="J74" s="19" t="s">
        <v>301</v>
      </c>
      <c r="K74" s="20">
        <v>1618</v>
      </c>
      <c r="L74" s="21">
        <v>29933000</v>
      </c>
      <c r="M74" s="20" t="s">
        <v>288</v>
      </c>
      <c r="N74" s="46">
        <v>46117</v>
      </c>
      <c r="O74" s="20">
        <v>828</v>
      </c>
      <c r="P74" s="21">
        <v>15318000</v>
      </c>
      <c r="Q74" s="20" t="s">
        <v>288</v>
      </c>
      <c r="R74" s="20"/>
      <c r="S74" s="20"/>
      <c r="T74" s="20"/>
      <c r="U74" s="20"/>
      <c r="V74" s="20"/>
      <c r="W74" s="20"/>
      <c r="X74" s="20"/>
      <c r="Y74" s="20"/>
      <c r="Z74" s="20"/>
      <c r="AA74" s="20"/>
      <c r="AB74" s="20"/>
      <c r="AC74" s="20"/>
      <c r="AD74" s="24">
        <f t="shared" si="2"/>
        <v>3957</v>
      </c>
      <c r="AE74" s="97">
        <f t="shared" si="2"/>
        <v>73204500</v>
      </c>
      <c r="AF74" s="20"/>
      <c r="AG74" s="20" t="s">
        <v>225</v>
      </c>
      <c r="AH74" s="18" t="s">
        <v>302</v>
      </c>
      <c r="AI74" s="22" t="s">
        <v>303</v>
      </c>
      <c r="AJ74" s="38" t="s">
        <v>304</v>
      </c>
      <c r="AK74" s="23"/>
    </row>
    <row r="75" spans="1:37" ht="15.75" customHeight="1" x14ac:dyDescent="0.45">
      <c r="A75" s="14">
        <v>71</v>
      </c>
      <c r="B75" s="15" t="s">
        <v>305</v>
      </c>
      <c r="C75" s="27" t="s">
        <v>288</v>
      </c>
      <c r="D75" s="28" t="s">
        <v>214</v>
      </c>
      <c r="E75" s="29" t="s">
        <v>27</v>
      </c>
      <c r="F75" s="31">
        <v>46116</v>
      </c>
      <c r="G75" s="97">
        <v>824</v>
      </c>
      <c r="H75" s="25">
        <v>15663000</v>
      </c>
      <c r="I75" s="19" t="s">
        <v>49</v>
      </c>
      <c r="J75" s="19"/>
      <c r="K75" s="20"/>
      <c r="L75" s="21"/>
      <c r="M75" s="20"/>
      <c r="N75" s="20"/>
      <c r="O75" s="20"/>
      <c r="P75" s="21"/>
      <c r="Q75" s="20"/>
      <c r="R75" s="20"/>
      <c r="S75" s="20"/>
      <c r="T75" s="20"/>
      <c r="U75" s="20"/>
      <c r="V75" s="20"/>
      <c r="W75" s="20"/>
      <c r="X75" s="20"/>
      <c r="Y75" s="20"/>
      <c r="Z75" s="20"/>
      <c r="AA75" s="20"/>
      <c r="AB75" s="20"/>
      <c r="AC75" s="20"/>
      <c r="AD75" s="24">
        <f t="shared" si="2"/>
        <v>824</v>
      </c>
      <c r="AE75" s="97">
        <f t="shared" si="2"/>
        <v>15663000</v>
      </c>
      <c r="AF75" s="20" t="s">
        <v>46</v>
      </c>
      <c r="AG75" s="20" t="s">
        <v>46</v>
      </c>
      <c r="AH75" s="18" t="s">
        <v>306</v>
      </c>
      <c r="AI75" s="22" t="s">
        <v>307</v>
      </c>
      <c r="AJ75" s="43" t="s">
        <v>308</v>
      </c>
      <c r="AK75" s="23"/>
    </row>
    <row r="76" spans="1:37" ht="15.75" customHeight="1" x14ac:dyDescent="0.45">
      <c r="A76" s="14">
        <v>72</v>
      </c>
      <c r="B76" s="15" t="s">
        <v>309</v>
      </c>
      <c r="C76" s="16" t="s">
        <v>310</v>
      </c>
      <c r="D76" s="14" t="s">
        <v>214</v>
      </c>
      <c r="E76" s="17" t="s">
        <v>27</v>
      </c>
      <c r="F76" s="18" t="s">
        <v>53</v>
      </c>
      <c r="G76" s="24"/>
      <c r="H76" s="25"/>
      <c r="I76" s="19"/>
      <c r="J76" s="19"/>
      <c r="K76" s="20"/>
      <c r="L76" s="21"/>
      <c r="M76" s="20"/>
      <c r="N76" s="20"/>
      <c r="O76" s="20"/>
      <c r="P76" s="21"/>
      <c r="Q76" s="20"/>
      <c r="R76" s="20"/>
      <c r="S76" s="20"/>
      <c r="T76" s="20"/>
      <c r="U76" s="20"/>
      <c r="V76" s="20"/>
      <c r="W76" s="20"/>
      <c r="X76" s="20"/>
      <c r="Y76" s="20"/>
      <c r="Z76" s="20"/>
      <c r="AA76" s="20"/>
      <c r="AB76" s="20"/>
      <c r="AC76" s="20"/>
      <c r="AD76" s="24">
        <f t="shared" si="2"/>
        <v>0</v>
      </c>
      <c r="AE76" s="97">
        <f t="shared" si="2"/>
        <v>0</v>
      </c>
      <c r="AF76" s="20"/>
      <c r="AG76" s="20"/>
      <c r="AH76" s="18" t="s">
        <v>311</v>
      </c>
      <c r="AI76" s="22"/>
      <c r="AJ76" s="22"/>
      <c r="AK76" s="23"/>
    </row>
    <row r="77" spans="1:37" ht="15.75" customHeight="1" x14ac:dyDescent="0.45">
      <c r="A77" s="14">
        <v>73</v>
      </c>
      <c r="B77" s="15" t="s">
        <v>312</v>
      </c>
      <c r="C77" s="16" t="s">
        <v>310</v>
      </c>
      <c r="D77" s="14" t="s">
        <v>214</v>
      </c>
      <c r="E77" s="17" t="s">
        <v>27</v>
      </c>
      <c r="F77" s="18" t="s">
        <v>53</v>
      </c>
      <c r="G77" s="24"/>
      <c r="H77" s="25"/>
      <c r="I77" s="19"/>
      <c r="J77" s="19"/>
      <c r="K77" s="20"/>
      <c r="L77" s="21"/>
      <c r="M77" s="20"/>
      <c r="N77" s="20"/>
      <c r="O77" s="20"/>
      <c r="P77" s="21"/>
      <c r="Q77" s="20"/>
      <c r="R77" s="20"/>
      <c r="S77" s="20"/>
      <c r="T77" s="20"/>
      <c r="U77" s="20"/>
      <c r="V77" s="20"/>
      <c r="W77" s="20"/>
      <c r="X77" s="20"/>
      <c r="Y77" s="20"/>
      <c r="Z77" s="20"/>
      <c r="AA77" s="20"/>
      <c r="AB77" s="20"/>
      <c r="AC77" s="20"/>
      <c r="AD77" s="24">
        <f t="shared" si="2"/>
        <v>0</v>
      </c>
      <c r="AE77" s="97">
        <f t="shared" si="2"/>
        <v>0</v>
      </c>
      <c r="AF77" s="20"/>
      <c r="AG77" s="20"/>
      <c r="AH77" s="18"/>
      <c r="AI77" s="22"/>
      <c r="AJ77" s="22"/>
      <c r="AK77" s="23"/>
    </row>
    <row r="78" spans="1:37" ht="15.75" customHeight="1" x14ac:dyDescent="0.45">
      <c r="A78" s="14">
        <v>74</v>
      </c>
      <c r="B78" s="15" t="s">
        <v>313</v>
      </c>
      <c r="C78" s="64" t="s">
        <v>310</v>
      </c>
      <c r="D78" s="65" t="s">
        <v>214</v>
      </c>
      <c r="E78" s="17" t="s">
        <v>27</v>
      </c>
      <c r="F78" s="31">
        <v>46118</v>
      </c>
      <c r="G78" s="97">
        <v>200</v>
      </c>
      <c r="H78" s="25">
        <v>3800000</v>
      </c>
      <c r="I78" s="19" t="s">
        <v>314</v>
      </c>
      <c r="J78" s="31">
        <v>46119</v>
      </c>
      <c r="K78" s="20">
        <v>291</v>
      </c>
      <c r="L78" s="21">
        <v>5529000</v>
      </c>
      <c r="M78" s="20" t="s">
        <v>314</v>
      </c>
      <c r="N78" s="20"/>
      <c r="O78" s="20"/>
      <c r="P78" s="21"/>
      <c r="Q78" s="20"/>
      <c r="R78" s="20"/>
      <c r="S78" s="20"/>
      <c r="T78" s="20"/>
      <c r="U78" s="20"/>
      <c r="V78" s="20"/>
      <c r="W78" s="20"/>
      <c r="X78" s="20"/>
      <c r="Y78" s="20"/>
      <c r="Z78" s="20"/>
      <c r="AA78" s="20"/>
      <c r="AB78" s="20"/>
      <c r="AC78" s="20"/>
      <c r="AD78" s="24">
        <f t="shared" si="2"/>
        <v>491</v>
      </c>
      <c r="AE78" s="97">
        <f t="shared" si="2"/>
        <v>9329000</v>
      </c>
      <c r="AF78" s="20"/>
      <c r="AG78" s="20"/>
      <c r="AH78" s="18" t="s">
        <v>315</v>
      </c>
      <c r="AI78" s="22" t="s">
        <v>316</v>
      </c>
      <c r="AJ78" s="43" t="s">
        <v>317</v>
      </c>
      <c r="AK78" s="23"/>
    </row>
    <row r="79" spans="1:37" ht="15.75" customHeight="1" x14ac:dyDescent="0.45">
      <c r="A79" s="14">
        <v>75</v>
      </c>
      <c r="B79" s="15" t="s">
        <v>318</v>
      </c>
      <c r="C79" s="16" t="s">
        <v>310</v>
      </c>
      <c r="D79" s="14" t="s">
        <v>214</v>
      </c>
      <c r="E79" s="17" t="s">
        <v>24</v>
      </c>
      <c r="F79" s="18" t="s">
        <v>319</v>
      </c>
      <c r="G79" s="24"/>
      <c r="H79" s="25"/>
      <c r="I79" s="19"/>
      <c r="J79" s="19"/>
      <c r="K79" s="20"/>
      <c r="L79" s="21"/>
      <c r="M79" s="20"/>
      <c r="N79" s="20"/>
      <c r="O79" s="20"/>
      <c r="P79" s="21"/>
      <c r="Q79" s="20"/>
      <c r="R79" s="20"/>
      <c r="S79" s="20"/>
      <c r="T79" s="20"/>
      <c r="U79" s="20"/>
      <c r="V79" s="20"/>
      <c r="W79" s="20"/>
      <c r="X79" s="20"/>
      <c r="Y79" s="20"/>
      <c r="Z79" s="20"/>
      <c r="AA79" s="20"/>
      <c r="AB79" s="20"/>
      <c r="AC79" s="20"/>
      <c r="AD79" s="24">
        <f t="shared" si="2"/>
        <v>0</v>
      </c>
      <c r="AE79" s="97">
        <f t="shared" si="2"/>
        <v>0</v>
      </c>
      <c r="AF79" s="20"/>
      <c r="AG79" s="20"/>
      <c r="AH79" s="18"/>
      <c r="AI79" s="18"/>
      <c r="AJ79" s="22"/>
      <c r="AK79" s="23"/>
    </row>
    <row r="80" spans="1:37" ht="15.75" customHeight="1" x14ac:dyDescent="0.45">
      <c r="A80" s="14">
        <v>76</v>
      </c>
      <c r="B80" s="15" t="s">
        <v>320</v>
      </c>
      <c r="C80" s="16" t="s">
        <v>321</v>
      </c>
      <c r="D80" s="14" t="s">
        <v>214</v>
      </c>
      <c r="E80" s="17" t="s">
        <v>27</v>
      </c>
      <c r="F80" s="19" t="s">
        <v>322</v>
      </c>
      <c r="G80" s="97">
        <v>130</v>
      </c>
      <c r="H80" s="25">
        <v>2500000</v>
      </c>
      <c r="I80" s="19" t="s">
        <v>323</v>
      </c>
      <c r="J80" s="19" t="s">
        <v>92</v>
      </c>
      <c r="K80" s="20">
        <v>366</v>
      </c>
      <c r="L80" s="21">
        <v>6958000</v>
      </c>
      <c r="M80" s="20" t="s">
        <v>324</v>
      </c>
      <c r="N80" s="51">
        <v>46116</v>
      </c>
      <c r="O80" s="20">
        <v>512</v>
      </c>
      <c r="P80" s="21">
        <v>9728000</v>
      </c>
      <c r="Q80" s="20" t="s">
        <v>325</v>
      </c>
      <c r="R80" s="51">
        <v>46119</v>
      </c>
      <c r="S80" s="20">
        <v>503</v>
      </c>
      <c r="T80" s="21">
        <v>9557000</v>
      </c>
      <c r="U80" s="20" t="s">
        <v>326</v>
      </c>
      <c r="V80" s="20"/>
      <c r="W80" s="20"/>
      <c r="X80" s="20"/>
      <c r="Y80" s="20"/>
      <c r="Z80" s="20"/>
      <c r="AA80" s="20"/>
      <c r="AB80" s="20"/>
      <c r="AC80" s="20"/>
      <c r="AD80" s="24">
        <f t="shared" si="2"/>
        <v>1511</v>
      </c>
      <c r="AE80" s="97">
        <f t="shared" si="2"/>
        <v>28743000</v>
      </c>
      <c r="AF80" s="41">
        <v>0.75</v>
      </c>
      <c r="AG80" s="20" t="s">
        <v>65</v>
      </c>
      <c r="AH80" s="18" t="s">
        <v>327</v>
      </c>
      <c r="AI80" s="18" t="s">
        <v>328</v>
      </c>
      <c r="AJ80" s="22"/>
      <c r="AK80" s="23"/>
    </row>
    <row r="81" spans="1:37" ht="15.75" customHeight="1" x14ac:dyDescent="0.45">
      <c r="A81" s="14">
        <v>77</v>
      </c>
      <c r="B81" s="15" t="s">
        <v>329</v>
      </c>
      <c r="C81" s="16" t="s">
        <v>321</v>
      </c>
      <c r="D81" s="14" t="s">
        <v>214</v>
      </c>
      <c r="E81" s="17" t="s">
        <v>27</v>
      </c>
      <c r="F81" s="18" t="s">
        <v>330</v>
      </c>
      <c r="G81" s="97">
        <v>400</v>
      </c>
      <c r="H81" s="25">
        <v>7600000</v>
      </c>
      <c r="I81" s="19" t="s">
        <v>331</v>
      </c>
      <c r="J81" s="19" t="s">
        <v>332</v>
      </c>
      <c r="K81" s="20">
        <v>407</v>
      </c>
      <c r="L81" s="21">
        <v>7733000</v>
      </c>
      <c r="M81" s="20" t="s">
        <v>331</v>
      </c>
      <c r="N81" s="51">
        <v>46118</v>
      </c>
      <c r="O81" s="20">
        <v>415</v>
      </c>
      <c r="P81" s="21">
        <v>7885000</v>
      </c>
      <c r="Q81" s="20" t="s">
        <v>331</v>
      </c>
      <c r="R81" s="20"/>
      <c r="S81" s="20"/>
      <c r="T81" s="20"/>
      <c r="U81" s="20"/>
      <c r="V81" s="20"/>
      <c r="W81" s="20"/>
      <c r="X81" s="20"/>
      <c r="Y81" s="20"/>
      <c r="Z81" s="20"/>
      <c r="AA81" s="20"/>
      <c r="AB81" s="20"/>
      <c r="AC81" s="20"/>
      <c r="AD81" s="24">
        <f t="shared" si="2"/>
        <v>1222</v>
      </c>
      <c r="AE81" s="97">
        <f t="shared" si="2"/>
        <v>23218000</v>
      </c>
      <c r="AF81" s="41">
        <v>0.8</v>
      </c>
      <c r="AG81" s="20" t="s">
        <v>65</v>
      </c>
      <c r="AH81" s="18" t="s">
        <v>333</v>
      </c>
      <c r="AI81" s="22" t="s">
        <v>334</v>
      </c>
      <c r="AJ81" s="22"/>
      <c r="AK81" s="23"/>
    </row>
    <row r="82" spans="1:37" ht="15.75" customHeight="1" x14ac:dyDescent="0.45">
      <c r="A82" s="14">
        <v>78</v>
      </c>
      <c r="B82" s="15" t="s">
        <v>335</v>
      </c>
      <c r="C82" s="16" t="s">
        <v>321</v>
      </c>
      <c r="D82" s="14" t="s">
        <v>214</v>
      </c>
      <c r="E82" s="17" t="s">
        <v>24</v>
      </c>
      <c r="F82" s="19"/>
      <c r="G82" s="19"/>
      <c r="H82" s="60"/>
      <c r="I82" s="19"/>
      <c r="J82" s="19"/>
      <c r="K82" s="19"/>
      <c r="L82" s="19"/>
      <c r="M82" s="19"/>
      <c r="N82" s="19"/>
      <c r="O82" s="19"/>
      <c r="P82" s="19"/>
      <c r="Q82" s="19"/>
      <c r="R82" s="20"/>
      <c r="S82" s="20"/>
      <c r="T82" s="20"/>
      <c r="U82" s="20"/>
      <c r="V82" s="20"/>
      <c r="W82" s="20"/>
      <c r="X82" s="20"/>
      <c r="Y82" s="20"/>
      <c r="Z82" s="20"/>
      <c r="AA82" s="20"/>
      <c r="AB82" s="20"/>
      <c r="AC82" s="20"/>
      <c r="AD82" s="24">
        <f t="shared" si="2"/>
        <v>0</v>
      </c>
      <c r="AE82" s="97">
        <f t="shared" si="2"/>
        <v>0</v>
      </c>
      <c r="AF82" s="20"/>
      <c r="AG82" s="20"/>
      <c r="AH82" s="18"/>
      <c r="AI82" s="22"/>
      <c r="AJ82" s="22"/>
      <c r="AK82" s="23"/>
    </row>
    <row r="83" spans="1:37" ht="15.75" customHeight="1" x14ac:dyDescent="0.45">
      <c r="A83" s="14">
        <v>79</v>
      </c>
      <c r="B83" s="15" t="s">
        <v>336</v>
      </c>
      <c r="C83" s="16" t="s">
        <v>337</v>
      </c>
      <c r="D83" s="14" t="s">
        <v>214</v>
      </c>
      <c r="E83" s="17" t="s">
        <v>27</v>
      </c>
      <c r="F83" s="19" t="s">
        <v>338</v>
      </c>
      <c r="G83" s="95">
        <v>1836.2</v>
      </c>
      <c r="H83" s="25">
        <v>33969700</v>
      </c>
      <c r="I83" s="19" t="s">
        <v>337</v>
      </c>
      <c r="J83" s="19"/>
      <c r="K83" s="20"/>
      <c r="L83" s="21"/>
      <c r="M83" s="20"/>
      <c r="N83" s="20"/>
      <c r="O83" s="20"/>
      <c r="P83" s="21"/>
      <c r="Q83" s="20"/>
      <c r="R83" s="20"/>
      <c r="S83" s="20"/>
      <c r="T83" s="20"/>
      <c r="U83" s="20"/>
      <c r="V83" s="20"/>
      <c r="W83" s="20"/>
      <c r="X83" s="20"/>
      <c r="Y83" s="20"/>
      <c r="Z83" s="20"/>
      <c r="AA83" s="20"/>
      <c r="AB83" s="20"/>
      <c r="AC83" s="20"/>
      <c r="AD83" s="24">
        <f t="shared" si="2"/>
        <v>1836.2</v>
      </c>
      <c r="AE83" s="97">
        <f t="shared" si="2"/>
        <v>33969700</v>
      </c>
      <c r="AF83" s="20"/>
      <c r="AG83" s="20"/>
      <c r="AH83" s="18"/>
      <c r="AI83" s="22"/>
      <c r="AJ83" s="22"/>
      <c r="AK83" s="23"/>
    </row>
    <row r="84" spans="1:37" ht="15.75" customHeight="1" x14ac:dyDescent="0.45">
      <c r="A84" s="14">
        <v>80</v>
      </c>
      <c r="B84" s="15" t="s">
        <v>339</v>
      </c>
      <c r="C84" s="16" t="s">
        <v>337</v>
      </c>
      <c r="D84" s="14" t="s">
        <v>214</v>
      </c>
      <c r="E84" s="17" t="s">
        <v>27</v>
      </c>
      <c r="F84" s="18"/>
      <c r="G84" s="24"/>
      <c r="H84" s="25"/>
      <c r="I84" s="19" t="s">
        <v>337</v>
      </c>
      <c r="J84" s="19"/>
      <c r="K84" s="20"/>
      <c r="L84" s="21"/>
      <c r="M84" s="20"/>
      <c r="N84" s="20"/>
      <c r="O84" s="20"/>
      <c r="P84" s="21"/>
      <c r="Q84" s="20"/>
      <c r="R84" s="20"/>
      <c r="S84" s="20"/>
      <c r="T84" s="20"/>
      <c r="U84" s="20"/>
      <c r="V84" s="20"/>
      <c r="W84" s="20"/>
      <c r="X84" s="20"/>
      <c r="Y84" s="20"/>
      <c r="Z84" s="20"/>
      <c r="AA84" s="20"/>
      <c r="AB84" s="20"/>
      <c r="AC84" s="20"/>
      <c r="AD84" s="24">
        <f t="shared" si="2"/>
        <v>0</v>
      </c>
      <c r="AE84" s="97">
        <f t="shared" si="2"/>
        <v>0</v>
      </c>
      <c r="AF84" s="20"/>
      <c r="AG84" s="20"/>
      <c r="AH84" s="18" t="s">
        <v>340</v>
      </c>
      <c r="AI84" s="22" t="s">
        <v>341</v>
      </c>
      <c r="AJ84" s="39" t="s">
        <v>342</v>
      </c>
      <c r="AK84" s="23" t="s">
        <v>343</v>
      </c>
    </row>
    <row r="85" spans="1:37" ht="15.75" customHeight="1" x14ac:dyDescent="0.45">
      <c r="A85" s="14">
        <v>81</v>
      </c>
      <c r="B85" s="15" t="s">
        <v>344</v>
      </c>
      <c r="C85" s="16" t="s">
        <v>345</v>
      </c>
      <c r="D85" s="14" t="s">
        <v>214</v>
      </c>
      <c r="E85" s="17" t="s">
        <v>27</v>
      </c>
      <c r="F85" s="30">
        <v>46139</v>
      </c>
      <c r="G85" s="97">
        <v>221</v>
      </c>
      <c r="H85" s="25">
        <v>4199000</v>
      </c>
      <c r="I85" s="19" t="s">
        <v>345</v>
      </c>
      <c r="J85" s="19" t="s">
        <v>346</v>
      </c>
      <c r="K85" s="20">
        <v>337</v>
      </c>
      <c r="L85" s="21">
        <v>6403000</v>
      </c>
      <c r="M85" s="20" t="s">
        <v>345</v>
      </c>
      <c r="N85" s="20" t="s">
        <v>347</v>
      </c>
      <c r="O85" s="20"/>
      <c r="P85" s="21"/>
      <c r="Q85" s="20"/>
      <c r="R85" s="20"/>
      <c r="S85" s="20"/>
      <c r="T85" s="20"/>
      <c r="U85" s="20"/>
      <c r="V85" s="20"/>
      <c r="W85" s="20"/>
      <c r="X85" s="20"/>
      <c r="Y85" s="20"/>
      <c r="Z85" s="20"/>
      <c r="AA85" s="20"/>
      <c r="AB85" s="20"/>
      <c r="AC85" s="20"/>
      <c r="AD85" s="24">
        <f t="shared" si="2"/>
        <v>558</v>
      </c>
      <c r="AE85" s="97">
        <f t="shared" si="2"/>
        <v>10602000</v>
      </c>
      <c r="AF85" s="20"/>
      <c r="AG85" s="20"/>
      <c r="AH85" s="18" t="s">
        <v>348</v>
      </c>
      <c r="AI85" s="22" t="s">
        <v>349</v>
      </c>
      <c r="AJ85" s="22"/>
      <c r="AK85" s="23"/>
    </row>
    <row r="86" spans="1:37" ht="15.75" customHeight="1" x14ac:dyDescent="0.45">
      <c r="A86" s="14">
        <v>82</v>
      </c>
      <c r="B86" s="15" t="s">
        <v>350</v>
      </c>
      <c r="C86" s="16" t="s">
        <v>345</v>
      </c>
      <c r="D86" s="14" t="s">
        <v>214</v>
      </c>
      <c r="E86" s="17" t="s">
        <v>27</v>
      </c>
      <c r="F86" s="19" t="s">
        <v>351</v>
      </c>
      <c r="G86" s="97">
        <v>542</v>
      </c>
      <c r="H86" s="25">
        <v>9756000</v>
      </c>
      <c r="I86" s="19" t="s">
        <v>352</v>
      </c>
      <c r="J86" s="31">
        <v>46114</v>
      </c>
      <c r="K86" s="20">
        <v>1161</v>
      </c>
      <c r="L86" s="21">
        <v>20898000</v>
      </c>
      <c r="M86" s="20" t="s">
        <v>352</v>
      </c>
      <c r="N86" s="46">
        <v>46126</v>
      </c>
      <c r="O86" s="20">
        <v>1098</v>
      </c>
      <c r="P86" s="21">
        <v>19764000</v>
      </c>
      <c r="Q86" s="20" t="s">
        <v>353</v>
      </c>
      <c r="R86" s="46">
        <v>46127</v>
      </c>
      <c r="S86" s="20">
        <v>170</v>
      </c>
      <c r="T86" s="20">
        <v>3060000</v>
      </c>
      <c r="U86" s="20" t="s">
        <v>354</v>
      </c>
      <c r="V86" s="46">
        <v>46138</v>
      </c>
      <c r="W86" s="20">
        <v>568</v>
      </c>
      <c r="X86" s="20">
        <v>10224000</v>
      </c>
      <c r="Y86" s="20" t="s">
        <v>93</v>
      </c>
      <c r="Z86" s="20"/>
      <c r="AA86" s="20"/>
      <c r="AB86" s="20"/>
      <c r="AC86" s="20"/>
      <c r="AD86" s="24">
        <f t="shared" si="2"/>
        <v>3539</v>
      </c>
      <c r="AE86" s="97">
        <f t="shared" si="2"/>
        <v>63702000</v>
      </c>
      <c r="AF86" s="20"/>
      <c r="AG86" s="20" t="s">
        <v>355</v>
      </c>
      <c r="AH86" s="18"/>
      <c r="AI86" s="22"/>
      <c r="AJ86" s="47" t="s">
        <v>356</v>
      </c>
      <c r="AK86" s="23"/>
    </row>
    <row r="87" spans="1:37" ht="15.75" customHeight="1" x14ac:dyDescent="0.45">
      <c r="A87" s="14">
        <v>83</v>
      </c>
      <c r="B87" s="15" t="s">
        <v>357</v>
      </c>
      <c r="C87" s="16" t="s">
        <v>345</v>
      </c>
      <c r="D87" s="14" t="s">
        <v>214</v>
      </c>
      <c r="E87" s="17" t="s">
        <v>27</v>
      </c>
      <c r="F87" s="18" t="s">
        <v>358</v>
      </c>
      <c r="G87" s="97">
        <v>162</v>
      </c>
      <c r="H87" s="25">
        <f>162*18500</f>
        <v>2997000</v>
      </c>
      <c r="I87" s="19" t="s">
        <v>345</v>
      </c>
      <c r="J87" s="31">
        <v>46120</v>
      </c>
      <c r="K87" s="20">
        <v>126</v>
      </c>
      <c r="L87" s="21">
        <f>K87*18500</f>
        <v>2331000</v>
      </c>
      <c r="M87" s="20" t="s">
        <v>345</v>
      </c>
      <c r="N87" s="46">
        <v>46123</v>
      </c>
      <c r="O87" s="20">
        <v>155</v>
      </c>
      <c r="P87" s="21">
        <f>155*18500</f>
        <v>2867500</v>
      </c>
      <c r="Q87" s="20" t="s">
        <v>345</v>
      </c>
      <c r="R87" s="20"/>
      <c r="S87" s="20"/>
      <c r="T87" s="20"/>
      <c r="U87" s="20"/>
      <c r="V87" s="20"/>
      <c r="W87" s="20"/>
      <c r="X87" s="20"/>
      <c r="Y87" s="20"/>
      <c r="Z87" s="20"/>
      <c r="AA87" s="20"/>
      <c r="AB87" s="20"/>
      <c r="AC87" s="20"/>
      <c r="AD87" s="24">
        <f t="shared" si="2"/>
        <v>443</v>
      </c>
      <c r="AE87" s="97">
        <f t="shared" si="2"/>
        <v>8195500</v>
      </c>
      <c r="AF87" s="20"/>
      <c r="AG87" s="20"/>
      <c r="AH87" s="18" t="s">
        <v>359</v>
      </c>
      <c r="AI87" s="22" t="s">
        <v>360</v>
      </c>
      <c r="AJ87" s="44" t="s">
        <v>361</v>
      </c>
      <c r="AK87" s="23" t="s">
        <v>362</v>
      </c>
    </row>
    <row r="88" spans="1:37" ht="15.75" customHeight="1" x14ac:dyDescent="0.45">
      <c r="A88" s="14">
        <v>84</v>
      </c>
      <c r="B88" s="15" t="s">
        <v>363</v>
      </c>
      <c r="C88" s="16" t="s">
        <v>364</v>
      </c>
      <c r="D88" s="14" t="s">
        <v>214</v>
      </c>
      <c r="E88" s="17" t="s">
        <v>24</v>
      </c>
      <c r="F88" s="18" t="s">
        <v>365</v>
      </c>
      <c r="G88" s="24"/>
      <c r="H88" s="25"/>
      <c r="I88" s="19"/>
      <c r="J88" s="19"/>
      <c r="K88" s="20"/>
      <c r="L88" s="21"/>
      <c r="M88" s="20"/>
      <c r="N88" s="20"/>
      <c r="O88" s="20"/>
      <c r="P88" s="21"/>
      <c r="Q88" s="20"/>
      <c r="R88" s="20"/>
      <c r="S88" s="20"/>
      <c r="T88" s="20"/>
      <c r="U88" s="20"/>
      <c r="V88" s="20"/>
      <c r="W88" s="20"/>
      <c r="X88" s="20"/>
      <c r="Y88" s="20"/>
      <c r="Z88" s="20"/>
      <c r="AA88" s="20"/>
      <c r="AB88" s="20"/>
      <c r="AC88" s="20"/>
      <c r="AD88" s="24">
        <f t="shared" si="2"/>
        <v>0</v>
      </c>
      <c r="AE88" s="97">
        <f t="shared" si="2"/>
        <v>0</v>
      </c>
      <c r="AF88" s="20"/>
      <c r="AG88" s="20"/>
      <c r="AH88" s="18"/>
      <c r="AI88" s="22"/>
      <c r="AJ88" s="43" t="s">
        <v>366</v>
      </c>
      <c r="AK88" s="23"/>
    </row>
    <row r="89" spans="1:37" ht="15.75" customHeight="1" x14ac:dyDescent="0.45">
      <c r="A89" s="14">
        <v>85</v>
      </c>
      <c r="B89" s="15" t="s">
        <v>367</v>
      </c>
      <c r="C89" s="16" t="s">
        <v>368</v>
      </c>
      <c r="D89" s="14" t="s">
        <v>214</v>
      </c>
      <c r="E89" s="17" t="s">
        <v>27</v>
      </c>
      <c r="F89" s="18" t="s">
        <v>369</v>
      </c>
      <c r="G89" s="97">
        <v>0</v>
      </c>
      <c r="H89" s="25">
        <v>0</v>
      </c>
      <c r="I89" s="19"/>
      <c r="J89" s="19"/>
      <c r="K89" s="20"/>
      <c r="L89" s="21"/>
      <c r="M89" s="20"/>
      <c r="N89" s="20"/>
      <c r="O89" s="20"/>
      <c r="P89" s="21"/>
      <c r="Q89" s="20"/>
      <c r="R89" s="20"/>
      <c r="S89" s="20"/>
      <c r="T89" s="20"/>
      <c r="U89" s="20"/>
      <c r="V89" s="20"/>
      <c r="W89" s="20"/>
      <c r="X89" s="20"/>
      <c r="Y89" s="20"/>
      <c r="Z89" s="20"/>
      <c r="AA89" s="20"/>
      <c r="AB89" s="20"/>
      <c r="AC89" s="20"/>
      <c r="AD89" s="24">
        <f t="shared" si="2"/>
        <v>0</v>
      </c>
      <c r="AE89" s="97">
        <f t="shared" si="2"/>
        <v>0</v>
      </c>
      <c r="AF89" s="20"/>
      <c r="AG89" s="20"/>
      <c r="AH89" s="18" t="s">
        <v>370</v>
      </c>
      <c r="AI89" s="22"/>
      <c r="AJ89" s="22"/>
      <c r="AK89" s="23"/>
    </row>
    <row r="90" spans="1:37" ht="15.75" customHeight="1" x14ac:dyDescent="0.45">
      <c r="A90" s="14">
        <v>86</v>
      </c>
      <c r="B90" s="15" t="s">
        <v>371</v>
      </c>
      <c r="C90" s="16" t="s">
        <v>368</v>
      </c>
      <c r="D90" s="14" t="s">
        <v>214</v>
      </c>
      <c r="E90" s="17" t="s">
        <v>27</v>
      </c>
      <c r="F90" s="18" t="s">
        <v>58</v>
      </c>
      <c r="G90" s="97">
        <v>0</v>
      </c>
      <c r="H90" s="25">
        <v>0</v>
      </c>
      <c r="I90" s="19"/>
      <c r="J90" s="19"/>
      <c r="K90" s="20"/>
      <c r="L90" s="21"/>
      <c r="M90" s="20"/>
      <c r="N90" s="20"/>
      <c r="O90" s="20"/>
      <c r="P90" s="21"/>
      <c r="Q90" s="20"/>
      <c r="R90" s="20"/>
      <c r="S90" s="20"/>
      <c r="T90" s="20"/>
      <c r="U90" s="20"/>
      <c r="V90" s="20"/>
      <c r="W90" s="20"/>
      <c r="X90" s="20"/>
      <c r="Y90" s="20"/>
      <c r="Z90" s="20"/>
      <c r="AA90" s="20"/>
      <c r="AB90" s="20"/>
      <c r="AC90" s="20"/>
      <c r="AD90" s="24">
        <f t="shared" si="2"/>
        <v>0</v>
      </c>
      <c r="AE90" s="97">
        <f t="shared" si="2"/>
        <v>0</v>
      </c>
      <c r="AF90" s="20"/>
      <c r="AG90" s="20"/>
      <c r="AH90" s="18" t="s">
        <v>372</v>
      </c>
      <c r="AI90" s="22"/>
      <c r="AJ90" s="22"/>
      <c r="AK90" s="23"/>
    </row>
    <row r="91" spans="1:37" ht="15.75" customHeight="1" x14ac:dyDescent="0.45">
      <c r="A91" s="14">
        <v>87</v>
      </c>
      <c r="B91" s="15" t="s">
        <v>373</v>
      </c>
      <c r="C91" s="16" t="s">
        <v>374</v>
      </c>
      <c r="D91" s="14" t="s">
        <v>214</v>
      </c>
      <c r="E91" s="17" t="s">
        <v>24</v>
      </c>
      <c r="F91" s="18" t="s">
        <v>375</v>
      </c>
      <c r="G91" s="97"/>
      <c r="H91" s="25"/>
      <c r="I91" s="19" t="s">
        <v>43</v>
      </c>
      <c r="J91" s="35"/>
      <c r="K91" s="36"/>
      <c r="L91" s="37"/>
      <c r="M91" s="36"/>
      <c r="N91" s="36"/>
      <c r="O91" s="36"/>
      <c r="P91" s="37"/>
      <c r="Q91" s="36"/>
      <c r="R91" s="20"/>
      <c r="S91" s="20"/>
      <c r="T91" s="20"/>
      <c r="U91" s="20"/>
      <c r="V91" s="20"/>
      <c r="W91" s="20"/>
      <c r="X91" s="20"/>
      <c r="Y91" s="20"/>
      <c r="Z91" s="20"/>
      <c r="AA91" s="20"/>
      <c r="AB91" s="20"/>
      <c r="AC91" s="20"/>
      <c r="AD91" s="24">
        <f t="shared" si="2"/>
        <v>0</v>
      </c>
      <c r="AE91" s="97">
        <f t="shared" si="2"/>
        <v>0</v>
      </c>
      <c r="AF91" s="20"/>
      <c r="AG91" s="20"/>
      <c r="AH91" s="18" t="s">
        <v>376</v>
      </c>
      <c r="AI91" s="22"/>
      <c r="AJ91" s="22"/>
      <c r="AK91" s="23"/>
    </row>
    <row r="92" spans="1:37" ht="15.75" customHeight="1" x14ac:dyDescent="0.45">
      <c r="A92" s="14">
        <v>88</v>
      </c>
      <c r="B92" s="15" t="s">
        <v>377</v>
      </c>
      <c r="C92" s="16" t="s">
        <v>378</v>
      </c>
      <c r="D92" s="28" t="s">
        <v>214</v>
      </c>
      <c r="E92" s="17" t="s">
        <v>27</v>
      </c>
      <c r="F92" s="18"/>
      <c r="G92" s="24"/>
      <c r="H92" s="25"/>
      <c r="I92" s="19"/>
      <c r="J92" s="19"/>
      <c r="K92" s="20"/>
      <c r="L92" s="21"/>
      <c r="M92" s="20"/>
      <c r="N92" s="20"/>
      <c r="O92" s="20"/>
      <c r="P92" s="21"/>
      <c r="Q92" s="20"/>
      <c r="R92" s="20"/>
      <c r="S92" s="20"/>
      <c r="T92" s="20"/>
      <c r="U92" s="20"/>
      <c r="V92" s="20"/>
      <c r="W92" s="20"/>
      <c r="X92" s="20"/>
      <c r="Y92" s="20"/>
      <c r="Z92" s="20"/>
      <c r="AA92" s="20"/>
      <c r="AB92" s="20"/>
      <c r="AC92" s="20"/>
      <c r="AD92" s="24">
        <f t="shared" si="2"/>
        <v>0</v>
      </c>
      <c r="AE92" s="97">
        <f t="shared" si="2"/>
        <v>0</v>
      </c>
      <c r="AF92" s="20"/>
      <c r="AG92" s="20"/>
      <c r="AH92" s="18"/>
      <c r="AI92" s="22"/>
      <c r="AJ92" s="22"/>
      <c r="AK92" s="23"/>
    </row>
    <row r="93" spans="1:37" ht="15.75" customHeight="1" x14ac:dyDescent="0.45">
      <c r="A93" s="14">
        <v>89</v>
      </c>
      <c r="B93" s="15" t="s">
        <v>379</v>
      </c>
      <c r="C93" s="16" t="s">
        <v>378</v>
      </c>
      <c r="D93" s="14" t="s">
        <v>214</v>
      </c>
      <c r="E93" s="17" t="s">
        <v>27</v>
      </c>
      <c r="F93" s="19" t="s">
        <v>380</v>
      </c>
      <c r="G93" s="97">
        <v>4000</v>
      </c>
      <c r="H93" s="25">
        <v>76000000</v>
      </c>
      <c r="I93" s="19" t="s">
        <v>378</v>
      </c>
      <c r="J93" s="19"/>
      <c r="K93" s="20"/>
      <c r="L93" s="21"/>
      <c r="M93" s="20"/>
      <c r="N93" s="20"/>
      <c r="O93" s="20"/>
      <c r="P93" s="21"/>
      <c r="Q93" s="20"/>
      <c r="R93" s="20"/>
      <c r="S93" s="20"/>
      <c r="T93" s="20"/>
      <c r="U93" s="20"/>
      <c r="V93" s="20"/>
      <c r="W93" s="20"/>
      <c r="X93" s="20"/>
      <c r="Y93" s="20"/>
      <c r="Z93" s="20"/>
      <c r="AA93" s="20"/>
      <c r="AB93" s="20"/>
      <c r="AC93" s="20"/>
      <c r="AD93" s="24">
        <f t="shared" si="2"/>
        <v>4000</v>
      </c>
      <c r="AE93" s="97">
        <f t="shared" si="2"/>
        <v>76000000</v>
      </c>
      <c r="AF93" s="20">
        <v>67</v>
      </c>
      <c r="AG93" s="20">
        <v>1</v>
      </c>
      <c r="AH93" s="18" t="s">
        <v>381</v>
      </c>
      <c r="AI93" s="22"/>
      <c r="AJ93" s="22"/>
      <c r="AK93" s="23"/>
    </row>
    <row r="94" spans="1:37" ht="15.75" customHeight="1" x14ac:dyDescent="0.45">
      <c r="A94" s="14">
        <v>90</v>
      </c>
      <c r="B94" s="15" t="s">
        <v>382</v>
      </c>
      <c r="C94" s="16" t="s">
        <v>378</v>
      </c>
      <c r="D94" s="14" t="s">
        <v>214</v>
      </c>
      <c r="E94" s="17" t="s">
        <v>27</v>
      </c>
      <c r="F94" s="19"/>
      <c r="G94" s="24"/>
      <c r="H94" s="25"/>
      <c r="I94" s="19"/>
      <c r="J94" s="19"/>
      <c r="K94" s="20"/>
      <c r="L94" s="21"/>
      <c r="M94" s="20"/>
      <c r="N94" s="20"/>
      <c r="O94" s="20"/>
      <c r="P94" s="21"/>
      <c r="Q94" s="20"/>
      <c r="R94" s="20"/>
      <c r="S94" s="20"/>
      <c r="T94" s="20"/>
      <c r="U94" s="20"/>
      <c r="V94" s="20"/>
      <c r="W94" s="20"/>
      <c r="X94" s="20"/>
      <c r="Y94" s="20"/>
      <c r="Z94" s="20"/>
      <c r="AA94" s="20"/>
      <c r="AB94" s="20"/>
      <c r="AC94" s="20"/>
      <c r="AD94" s="24">
        <f t="shared" si="2"/>
        <v>0</v>
      </c>
      <c r="AE94" s="97">
        <f t="shared" si="2"/>
        <v>0</v>
      </c>
      <c r="AF94" s="20"/>
      <c r="AG94" s="20"/>
      <c r="AH94" s="18"/>
      <c r="AI94" s="22"/>
      <c r="AJ94" s="22"/>
      <c r="AK94" s="23"/>
    </row>
    <row r="95" spans="1:37" ht="15.75" customHeight="1" x14ac:dyDescent="0.45">
      <c r="A95" s="14">
        <v>91</v>
      </c>
      <c r="B95" s="15" t="s">
        <v>383</v>
      </c>
      <c r="C95" s="16" t="s">
        <v>384</v>
      </c>
      <c r="D95" s="14" t="s">
        <v>214</v>
      </c>
      <c r="E95" s="17" t="s">
        <v>27</v>
      </c>
      <c r="F95" s="19" t="s">
        <v>385</v>
      </c>
      <c r="G95" s="97">
        <v>759</v>
      </c>
      <c r="H95" s="25">
        <v>14041500</v>
      </c>
      <c r="I95" s="19" t="s">
        <v>43</v>
      </c>
      <c r="J95" s="31">
        <v>46116</v>
      </c>
      <c r="K95" s="20">
        <v>1813</v>
      </c>
      <c r="L95" s="21">
        <v>33180500</v>
      </c>
      <c r="M95" s="20" t="s">
        <v>43</v>
      </c>
      <c r="N95" s="20"/>
      <c r="O95" s="20"/>
      <c r="P95" s="21"/>
      <c r="Q95" s="20"/>
      <c r="R95" s="20"/>
      <c r="S95" s="20"/>
      <c r="T95" s="20"/>
      <c r="U95" s="20"/>
      <c r="V95" s="20"/>
      <c r="W95" s="20"/>
      <c r="X95" s="20"/>
      <c r="Y95" s="20"/>
      <c r="Z95" s="20"/>
      <c r="AA95" s="20"/>
      <c r="AB95" s="20"/>
      <c r="AC95" s="20"/>
      <c r="AD95" s="24">
        <f t="shared" si="2"/>
        <v>2572</v>
      </c>
      <c r="AE95" s="97">
        <f t="shared" si="2"/>
        <v>47222000</v>
      </c>
      <c r="AF95" s="20" t="s">
        <v>386</v>
      </c>
      <c r="AG95" s="20" t="s">
        <v>387</v>
      </c>
      <c r="AH95" s="18" t="s">
        <v>388</v>
      </c>
      <c r="AI95" s="22" t="s">
        <v>389</v>
      </c>
      <c r="AJ95" s="44" t="s">
        <v>390</v>
      </c>
      <c r="AK95" s="23"/>
    </row>
    <row r="96" spans="1:37" ht="15.75" customHeight="1" x14ac:dyDescent="0.45">
      <c r="A96" s="14">
        <v>92</v>
      </c>
      <c r="B96" s="15" t="s">
        <v>391</v>
      </c>
      <c r="C96" s="16" t="s">
        <v>384</v>
      </c>
      <c r="D96" s="14" t="s">
        <v>214</v>
      </c>
      <c r="E96" s="17" t="s">
        <v>27</v>
      </c>
      <c r="F96" s="19" t="s">
        <v>392</v>
      </c>
      <c r="G96" s="97">
        <v>303</v>
      </c>
      <c r="H96" s="25">
        <v>5393400</v>
      </c>
      <c r="I96" s="19" t="s">
        <v>43</v>
      </c>
      <c r="J96" s="19" t="s">
        <v>330</v>
      </c>
      <c r="K96" s="20">
        <v>1781</v>
      </c>
      <c r="L96" s="21">
        <v>32592300</v>
      </c>
      <c r="M96" s="19" t="s">
        <v>43</v>
      </c>
      <c r="N96" s="51">
        <v>46119</v>
      </c>
      <c r="O96" s="20">
        <v>1403</v>
      </c>
      <c r="P96" s="21">
        <v>25674900</v>
      </c>
      <c r="Q96" s="19" t="s">
        <v>43</v>
      </c>
      <c r="R96" s="20"/>
      <c r="S96" s="20"/>
      <c r="T96" s="20"/>
      <c r="U96" s="20"/>
      <c r="V96" s="20"/>
      <c r="W96" s="20"/>
      <c r="X96" s="20"/>
      <c r="Y96" s="20"/>
      <c r="Z96" s="20"/>
      <c r="AA96" s="20"/>
      <c r="AB96" s="20"/>
      <c r="AC96" s="20"/>
      <c r="AD96" s="24">
        <f>G96+K96+O96+S96+W96+AA96</f>
        <v>3487</v>
      </c>
      <c r="AE96" s="97">
        <f t="shared" si="2"/>
        <v>63660600</v>
      </c>
      <c r="AF96" s="20"/>
      <c r="AG96" s="20"/>
      <c r="AH96" s="60"/>
      <c r="AI96" s="22"/>
      <c r="AJ96" s="44" t="s">
        <v>393</v>
      </c>
      <c r="AK96" s="23"/>
    </row>
    <row r="97" spans="1:37" ht="15.75" customHeight="1" x14ac:dyDescent="0.45">
      <c r="A97" s="14">
        <v>93</v>
      </c>
      <c r="B97" s="15" t="s">
        <v>394</v>
      </c>
      <c r="C97" s="16" t="s">
        <v>384</v>
      </c>
      <c r="D97" s="14" t="s">
        <v>214</v>
      </c>
      <c r="E97" s="17" t="s">
        <v>27</v>
      </c>
      <c r="F97" s="19" t="s">
        <v>395</v>
      </c>
      <c r="G97" s="97">
        <v>536</v>
      </c>
      <c r="H97" s="25">
        <v>9648000</v>
      </c>
      <c r="I97" s="19" t="s">
        <v>43</v>
      </c>
      <c r="J97" s="19"/>
      <c r="K97" s="20"/>
      <c r="L97" s="21"/>
      <c r="M97" s="20"/>
      <c r="N97" s="20"/>
      <c r="O97" s="20"/>
      <c r="P97" s="21"/>
      <c r="Q97" s="20"/>
      <c r="R97" s="20"/>
      <c r="S97" s="20"/>
      <c r="T97" s="20"/>
      <c r="U97" s="20"/>
      <c r="V97" s="20"/>
      <c r="W97" s="20"/>
      <c r="X97" s="20"/>
      <c r="Y97" s="20"/>
      <c r="Z97" s="20"/>
      <c r="AA97" s="20"/>
      <c r="AB97" s="20"/>
      <c r="AC97" s="20"/>
      <c r="AD97" s="24">
        <f>G97+K97+O97+S97+W97+AA97</f>
        <v>536</v>
      </c>
      <c r="AE97" s="97">
        <f t="shared" si="2"/>
        <v>9648000</v>
      </c>
      <c r="AF97" s="20">
        <v>60</v>
      </c>
      <c r="AG97" s="20"/>
      <c r="AH97" s="60"/>
      <c r="AI97" s="22"/>
      <c r="AJ97" s="38" t="s">
        <v>396</v>
      </c>
      <c r="AK97" s="23"/>
    </row>
    <row r="98" spans="1:37" ht="15.75" customHeight="1" x14ac:dyDescent="0.45">
      <c r="A98" s="14">
        <v>94</v>
      </c>
      <c r="B98" s="15" t="s">
        <v>397</v>
      </c>
      <c r="C98" s="16" t="s">
        <v>398</v>
      </c>
      <c r="D98" s="14" t="s">
        <v>399</v>
      </c>
      <c r="E98" s="17" t="s">
        <v>24</v>
      </c>
      <c r="F98" s="31">
        <v>46126</v>
      </c>
      <c r="G98" s="97">
        <v>237</v>
      </c>
      <c r="H98" s="25">
        <v>6291000</v>
      </c>
      <c r="I98" s="19" t="s">
        <v>43</v>
      </c>
      <c r="J98" s="19"/>
      <c r="K98" s="20"/>
      <c r="L98" s="21"/>
      <c r="M98" s="20"/>
      <c r="N98" s="20"/>
      <c r="O98" s="20"/>
      <c r="P98" s="21"/>
      <c r="Q98" s="20"/>
      <c r="R98" s="20"/>
      <c r="S98" s="20"/>
      <c r="T98" s="20"/>
      <c r="U98" s="20"/>
      <c r="V98" s="20"/>
      <c r="W98" s="20"/>
      <c r="X98" s="20"/>
      <c r="Y98" s="20"/>
      <c r="Z98" s="20"/>
      <c r="AA98" s="20"/>
      <c r="AB98" s="20"/>
      <c r="AC98" s="20"/>
      <c r="AD98" s="24">
        <f>G98+K98+O98+S98+W98+AA98</f>
        <v>237</v>
      </c>
      <c r="AE98" s="97">
        <f>H98+L98+P98+T98+X98+AB98</f>
        <v>6291000</v>
      </c>
      <c r="AF98" s="20"/>
      <c r="AG98" s="20"/>
      <c r="AH98" s="22"/>
      <c r="AI98" s="22"/>
      <c r="AJ98" s="22"/>
      <c r="AK98" s="23"/>
    </row>
    <row r="99" spans="1:37" ht="14.25" customHeight="1" x14ac:dyDescent="0.45">
      <c r="A99" s="14">
        <v>95</v>
      </c>
      <c r="B99" s="15" t="s">
        <v>400</v>
      </c>
      <c r="C99" s="16" t="s">
        <v>398</v>
      </c>
      <c r="D99" s="14" t="s">
        <v>399</v>
      </c>
      <c r="E99" s="17" t="s">
        <v>24</v>
      </c>
      <c r="F99" s="19"/>
      <c r="G99" s="24"/>
      <c r="H99" s="25"/>
      <c r="I99" s="19"/>
      <c r="J99" s="19"/>
      <c r="K99" s="20"/>
      <c r="L99" s="21"/>
      <c r="M99" s="20"/>
      <c r="N99" s="20"/>
      <c r="O99" s="20"/>
      <c r="P99" s="21"/>
      <c r="Q99" s="20"/>
      <c r="R99" s="20"/>
      <c r="S99" s="20"/>
      <c r="T99" s="20"/>
      <c r="U99" s="20"/>
      <c r="V99" s="20"/>
      <c r="W99" s="20"/>
      <c r="X99" s="20"/>
      <c r="Y99" s="20"/>
      <c r="Z99" s="20"/>
      <c r="AA99" s="20"/>
      <c r="AB99" s="20"/>
      <c r="AC99" s="20"/>
      <c r="AD99" s="24">
        <f t="shared" ref="AD99:AE104" si="3">G99+K99+O99+S99+W99+AA99</f>
        <v>0</v>
      </c>
      <c r="AE99" s="97">
        <f t="shared" si="3"/>
        <v>0</v>
      </c>
      <c r="AF99" s="20"/>
      <c r="AG99" s="20"/>
      <c r="AH99" s="22"/>
      <c r="AI99" s="22"/>
      <c r="AJ99" s="22"/>
      <c r="AK99" s="23"/>
    </row>
    <row r="100" spans="1:37" ht="14.25" customHeight="1" x14ac:dyDescent="0.45">
      <c r="A100" s="14">
        <v>96</v>
      </c>
      <c r="B100" s="15" t="s">
        <v>401</v>
      </c>
      <c r="C100" s="27" t="s">
        <v>402</v>
      </c>
      <c r="D100" s="28" t="s">
        <v>399</v>
      </c>
      <c r="E100" s="29" t="s">
        <v>27</v>
      </c>
      <c r="F100" s="71">
        <v>46113</v>
      </c>
      <c r="G100" s="96">
        <v>973.5</v>
      </c>
      <c r="H100" s="73">
        <v>19502000</v>
      </c>
      <c r="I100" s="72" t="s">
        <v>403</v>
      </c>
      <c r="J100" s="19" t="s">
        <v>404</v>
      </c>
      <c r="K100" s="20">
        <f>261+949</f>
        <v>1210</v>
      </c>
      <c r="L100" s="21">
        <f>5220000+18990000</f>
        <v>24210000</v>
      </c>
      <c r="M100" s="74" t="s">
        <v>403</v>
      </c>
      <c r="N100" s="31">
        <v>46119</v>
      </c>
      <c r="O100" s="94">
        <v>288.2</v>
      </c>
      <c r="P100" s="21">
        <v>5778000</v>
      </c>
      <c r="Q100" s="74" t="s">
        <v>403</v>
      </c>
      <c r="R100" s="20"/>
      <c r="S100" s="20"/>
      <c r="T100" s="20"/>
      <c r="U100" s="20"/>
      <c r="V100" s="20"/>
      <c r="W100" s="20"/>
      <c r="X100" s="20"/>
      <c r="Y100" s="20"/>
      <c r="Z100" s="20"/>
      <c r="AA100" s="20"/>
      <c r="AB100" s="20"/>
      <c r="AC100" s="20"/>
      <c r="AD100" s="24">
        <f>G100+K100+O100+S100+W100+AA100</f>
        <v>2471.6999999999998</v>
      </c>
      <c r="AE100" s="97">
        <f t="shared" si="3"/>
        <v>49490000</v>
      </c>
      <c r="AF100" s="20"/>
      <c r="AG100" s="20"/>
      <c r="AH100" s="22"/>
      <c r="AI100" s="22"/>
      <c r="AK100" s="23"/>
    </row>
    <row r="101" spans="1:37" ht="14.25" customHeight="1" x14ac:dyDescent="0.45">
      <c r="A101" s="14">
        <v>97</v>
      </c>
      <c r="B101" s="15" t="s">
        <v>405</v>
      </c>
      <c r="C101" s="16" t="s">
        <v>402</v>
      </c>
      <c r="D101" s="14" t="s">
        <v>399</v>
      </c>
      <c r="E101" s="17" t="s">
        <v>27</v>
      </c>
      <c r="F101" s="19"/>
      <c r="G101" s="24"/>
      <c r="H101" s="25"/>
      <c r="I101" s="19"/>
      <c r="J101" s="19"/>
      <c r="K101" s="20"/>
      <c r="L101" s="21"/>
      <c r="M101" s="20"/>
      <c r="N101" s="20"/>
      <c r="O101" s="20"/>
      <c r="P101" s="21"/>
      <c r="Q101" s="20"/>
      <c r="R101" s="20"/>
      <c r="S101" s="20"/>
      <c r="T101" s="20"/>
      <c r="U101" s="20"/>
      <c r="V101" s="20"/>
      <c r="W101" s="20"/>
      <c r="X101" s="20"/>
      <c r="Y101" s="20"/>
      <c r="Z101" s="20"/>
      <c r="AA101" s="20"/>
      <c r="AB101" s="20"/>
      <c r="AC101" s="20"/>
      <c r="AD101" s="24">
        <f t="shared" si="3"/>
        <v>0</v>
      </c>
      <c r="AE101" s="97">
        <f t="shared" si="3"/>
        <v>0</v>
      </c>
      <c r="AF101" s="20"/>
      <c r="AG101" s="20"/>
      <c r="AH101" s="22"/>
      <c r="AI101" s="22"/>
      <c r="AJ101" s="22"/>
      <c r="AK101" s="23"/>
    </row>
    <row r="102" spans="1:37" ht="14.25" customHeight="1" x14ac:dyDescent="0.45">
      <c r="A102" s="14">
        <v>98</v>
      </c>
      <c r="B102" s="15" t="s">
        <v>406</v>
      </c>
      <c r="C102" s="16" t="s">
        <v>407</v>
      </c>
      <c r="D102" s="14" t="s">
        <v>399</v>
      </c>
      <c r="E102" s="17" t="s">
        <v>27</v>
      </c>
      <c r="F102" s="19"/>
      <c r="G102" s="24"/>
      <c r="H102" s="25"/>
      <c r="I102" s="19"/>
      <c r="J102" s="19"/>
      <c r="K102" s="20"/>
      <c r="L102" s="21"/>
      <c r="M102" s="20"/>
      <c r="N102" s="20"/>
      <c r="O102" s="20"/>
      <c r="P102" s="21"/>
      <c r="Q102" s="20"/>
      <c r="R102" s="20"/>
      <c r="S102" s="20"/>
      <c r="T102" s="20"/>
      <c r="U102" s="20"/>
      <c r="V102" s="20"/>
      <c r="W102" s="20"/>
      <c r="X102" s="20"/>
      <c r="Y102" s="20"/>
      <c r="Z102" s="20"/>
      <c r="AA102" s="20"/>
      <c r="AB102" s="20"/>
      <c r="AC102" s="20"/>
      <c r="AD102" s="24">
        <f t="shared" si="3"/>
        <v>0</v>
      </c>
      <c r="AE102" s="97">
        <f t="shared" si="3"/>
        <v>0</v>
      </c>
      <c r="AF102" s="20"/>
      <c r="AG102" s="20"/>
      <c r="AH102" s="22"/>
      <c r="AI102" s="22"/>
      <c r="AJ102" s="22"/>
      <c r="AK102" s="23"/>
    </row>
    <row r="103" spans="1:37" ht="14.25" customHeight="1" x14ac:dyDescent="0.45">
      <c r="A103" s="14">
        <v>99</v>
      </c>
      <c r="B103" s="15" t="s">
        <v>408</v>
      </c>
      <c r="C103" s="16" t="s">
        <v>409</v>
      </c>
      <c r="D103" s="14" t="s">
        <v>399</v>
      </c>
      <c r="E103" s="17" t="s">
        <v>24</v>
      </c>
      <c r="F103" s="19" t="s">
        <v>301</v>
      </c>
      <c r="G103" s="97">
        <v>57</v>
      </c>
      <c r="H103" s="25">
        <f>27000*G103</f>
        <v>1539000</v>
      </c>
      <c r="I103" s="19" t="s">
        <v>43</v>
      </c>
      <c r="J103" s="31">
        <v>46116</v>
      </c>
      <c r="K103" s="20">
        <v>53</v>
      </c>
      <c r="L103" s="21">
        <f>27000*K103</f>
        <v>1431000</v>
      </c>
      <c r="M103" s="20" t="s">
        <v>43</v>
      </c>
      <c r="N103" s="20"/>
      <c r="O103" s="20"/>
      <c r="P103" s="21"/>
      <c r="Q103" s="20"/>
      <c r="R103" s="20"/>
      <c r="S103" s="20"/>
      <c r="T103" s="20"/>
      <c r="U103" s="20"/>
      <c r="V103" s="20"/>
      <c r="W103" s="20"/>
      <c r="X103" s="20"/>
      <c r="Y103" s="20"/>
      <c r="Z103" s="20"/>
      <c r="AA103" s="20"/>
      <c r="AB103" s="20"/>
      <c r="AC103" s="20"/>
      <c r="AD103" s="24">
        <f t="shared" si="3"/>
        <v>110</v>
      </c>
      <c r="AE103" s="97">
        <f t="shared" si="3"/>
        <v>2970000</v>
      </c>
      <c r="AF103" s="20"/>
      <c r="AG103" s="20"/>
      <c r="AH103" s="22"/>
      <c r="AI103" s="22"/>
      <c r="AJ103" s="22"/>
      <c r="AK103" s="23"/>
    </row>
    <row r="104" spans="1:37" ht="14.25" customHeight="1" x14ac:dyDescent="0.45">
      <c r="A104" s="14">
        <v>100</v>
      </c>
      <c r="B104" s="15" t="s">
        <v>410</v>
      </c>
      <c r="C104" s="16" t="s">
        <v>409</v>
      </c>
      <c r="D104" s="14" t="s">
        <v>399</v>
      </c>
      <c r="E104" s="17" t="s">
        <v>24</v>
      </c>
      <c r="F104" s="19"/>
      <c r="G104" s="24"/>
      <c r="H104" s="25"/>
      <c r="I104" s="19"/>
      <c r="J104" s="19"/>
      <c r="K104" s="19"/>
      <c r="L104" s="19"/>
      <c r="M104" s="19"/>
      <c r="N104" s="19"/>
      <c r="O104" s="19"/>
      <c r="P104" s="19"/>
      <c r="Q104" s="19"/>
      <c r="R104" s="20"/>
      <c r="S104" s="20"/>
      <c r="T104" s="20"/>
      <c r="U104" s="20"/>
      <c r="V104" s="20"/>
      <c r="W104" s="20"/>
      <c r="X104" s="20"/>
      <c r="Y104" s="20"/>
      <c r="Z104" s="20"/>
      <c r="AA104" s="20"/>
      <c r="AB104" s="20"/>
      <c r="AC104" s="20"/>
      <c r="AD104" s="24">
        <f>G104+K104+O104+S104+W104+AA104</f>
        <v>0</v>
      </c>
      <c r="AE104" s="97">
        <f t="shared" si="3"/>
        <v>0</v>
      </c>
      <c r="AF104" s="20"/>
      <c r="AG104" s="20"/>
      <c r="AH104" s="22"/>
      <c r="AI104" s="22"/>
      <c r="AJ104" s="22"/>
      <c r="AK104" s="23"/>
    </row>
    <row r="105" spans="1:37" ht="14.25" customHeight="1" x14ac:dyDescent="0.45">
      <c r="A105" s="101" t="s">
        <v>413</v>
      </c>
      <c r="B105" s="101"/>
      <c r="C105" s="102"/>
      <c r="D105" s="103"/>
      <c r="E105" s="104"/>
      <c r="F105" s="105"/>
      <c r="G105" s="106"/>
      <c r="H105" s="107"/>
      <c r="I105" s="108"/>
      <c r="J105" s="108"/>
      <c r="K105" s="109"/>
      <c r="L105" s="107"/>
      <c r="M105" s="109"/>
      <c r="N105" s="109"/>
      <c r="O105" s="109"/>
      <c r="P105" s="107"/>
      <c r="Q105" s="109"/>
      <c r="R105" s="109"/>
      <c r="S105" s="109"/>
      <c r="T105" s="109"/>
      <c r="U105" s="109"/>
      <c r="V105" s="109"/>
      <c r="W105" s="109"/>
      <c r="X105" s="109"/>
      <c r="Y105" s="109"/>
      <c r="Z105" s="109"/>
      <c r="AA105" s="109"/>
      <c r="AB105" s="109"/>
      <c r="AC105" s="109"/>
      <c r="AD105" s="106">
        <f>AVERAGE(AD4:AD104)</f>
        <v>679.03663366336627</v>
      </c>
      <c r="AE105" s="110">
        <f>AVERAGE(AE4:AE104)</f>
        <v>12784839.207920792</v>
      </c>
      <c r="AF105" s="109"/>
      <c r="AG105" s="109"/>
      <c r="AH105" s="102"/>
      <c r="AI105" s="102"/>
      <c r="AJ105" s="102"/>
      <c r="AK105" s="111"/>
    </row>
    <row r="106" spans="1:37" ht="14.25" customHeight="1" x14ac:dyDescent="0.45">
      <c r="A106" s="75"/>
      <c r="B106" s="75"/>
      <c r="C106" s="76"/>
      <c r="D106" s="75"/>
      <c r="E106" s="77"/>
      <c r="F106" s="78"/>
      <c r="G106" s="80"/>
      <c r="H106" s="80"/>
      <c r="I106" s="81"/>
      <c r="J106" s="81"/>
      <c r="K106" s="80"/>
      <c r="L106" s="80"/>
      <c r="M106" s="82"/>
      <c r="N106" s="82"/>
      <c r="O106" s="80"/>
      <c r="P106" s="80"/>
      <c r="Q106" s="80"/>
      <c r="R106" s="80"/>
      <c r="S106" s="82"/>
      <c r="T106" s="82"/>
      <c r="U106" s="82"/>
      <c r="V106" s="82"/>
      <c r="W106" s="82"/>
      <c r="X106" s="82"/>
      <c r="Y106" s="82"/>
      <c r="Z106" s="82"/>
      <c r="AA106" s="82"/>
      <c r="AB106" s="82"/>
      <c r="AC106" s="82"/>
      <c r="AD106" s="82"/>
      <c r="AE106" s="82"/>
      <c r="AF106" s="82"/>
      <c r="AG106" s="82"/>
      <c r="AH106" s="76"/>
      <c r="AI106" s="76"/>
      <c r="AJ106" s="76"/>
    </row>
    <row r="107" spans="1:37" ht="14.25" customHeight="1" x14ac:dyDescent="0.45">
      <c r="A107" s="75"/>
      <c r="B107" s="75"/>
      <c r="C107" s="76"/>
      <c r="D107" s="75"/>
      <c r="E107" s="77"/>
      <c r="F107" s="78"/>
      <c r="G107" s="79"/>
      <c r="H107" s="80"/>
      <c r="I107" s="81"/>
      <c r="J107" s="81"/>
      <c r="K107" s="82"/>
      <c r="L107" s="80"/>
      <c r="M107" s="82"/>
      <c r="N107" s="82"/>
      <c r="O107" s="82"/>
      <c r="P107" s="80"/>
      <c r="Q107" s="82"/>
      <c r="R107" s="82"/>
      <c r="S107" s="82"/>
      <c r="T107" s="82"/>
      <c r="U107" s="82"/>
      <c r="V107" s="82"/>
      <c r="W107" s="82"/>
      <c r="X107" s="82"/>
      <c r="Y107" s="82"/>
      <c r="Z107" s="82"/>
      <c r="AA107" s="82"/>
      <c r="AB107" s="82"/>
      <c r="AC107" s="82"/>
      <c r="AD107" s="82"/>
      <c r="AE107" s="82"/>
      <c r="AF107" s="82"/>
      <c r="AG107" s="82"/>
      <c r="AH107" s="76"/>
      <c r="AI107" s="76"/>
      <c r="AJ107" s="76"/>
    </row>
    <row r="108" spans="1:37" ht="14.25" customHeight="1" x14ac:dyDescent="0.45">
      <c r="A108" s="75"/>
      <c r="B108" s="75"/>
      <c r="C108" s="76"/>
      <c r="D108" s="75"/>
      <c r="E108" s="77"/>
      <c r="F108" s="78"/>
      <c r="G108" s="79"/>
      <c r="H108" s="80"/>
      <c r="I108" s="81"/>
      <c r="J108" s="81"/>
      <c r="K108" s="82"/>
      <c r="L108" s="80"/>
      <c r="M108" s="82"/>
      <c r="N108" s="82"/>
      <c r="O108" s="82"/>
      <c r="P108" s="80"/>
      <c r="Q108" s="82"/>
      <c r="R108" s="82"/>
      <c r="S108" s="82"/>
      <c r="T108" s="82"/>
      <c r="U108" s="82"/>
      <c r="V108" s="82"/>
      <c r="W108" s="82"/>
      <c r="X108" s="82"/>
      <c r="Y108" s="82"/>
      <c r="Z108" s="82"/>
      <c r="AA108" s="82"/>
      <c r="AB108" s="82"/>
      <c r="AC108" s="82"/>
      <c r="AD108" s="82"/>
      <c r="AE108" s="82"/>
      <c r="AF108" s="82"/>
      <c r="AG108" s="82"/>
      <c r="AH108" s="76"/>
      <c r="AI108" s="76"/>
      <c r="AJ108" s="76"/>
    </row>
    <row r="109" spans="1:37" ht="14.25" customHeight="1" x14ac:dyDescent="0.45">
      <c r="A109" s="75"/>
      <c r="B109" s="75"/>
      <c r="C109" s="76"/>
      <c r="D109" s="75"/>
      <c r="E109" s="77"/>
      <c r="F109" s="78"/>
      <c r="G109" s="79"/>
      <c r="H109" s="80"/>
      <c r="I109" s="81"/>
      <c r="J109" s="81"/>
      <c r="K109" s="82"/>
      <c r="L109" s="80"/>
      <c r="M109" s="82"/>
      <c r="N109" s="82"/>
      <c r="O109" s="82"/>
      <c r="P109" s="80"/>
      <c r="Q109" s="82"/>
      <c r="R109" s="82"/>
      <c r="S109" s="82"/>
      <c r="T109" s="82"/>
      <c r="U109" s="82"/>
      <c r="V109" s="82"/>
      <c r="W109" s="82"/>
      <c r="X109" s="82"/>
      <c r="Y109" s="82"/>
      <c r="Z109" s="82"/>
      <c r="AA109" s="82"/>
      <c r="AB109" s="82"/>
      <c r="AC109" s="82"/>
      <c r="AD109" s="82"/>
      <c r="AE109" s="82"/>
      <c r="AF109" s="82"/>
      <c r="AG109" s="82"/>
      <c r="AH109" s="76"/>
      <c r="AI109" s="76"/>
      <c r="AJ109" s="76"/>
    </row>
    <row r="110" spans="1:37" ht="14.25" customHeight="1" x14ac:dyDescent="0.45">
      <c r="A110" s="75"/>
      <c r="B110" s="75"/>
      <c r="C110" s="76"/>
      <c r="D110" s="75"/>
      <c r="E110" s="77"/>
      <c r="F110" s="78"/>
      <c r="G110" s="79"/>
      <c r="H110" s="80"/>
      <c r="I110" s="81"/>
      <c r="J110" s="81"/>
      <c r="K110" s="82"/>
      <c r="L110" s="80"/>
      <c r="M110" s="82"/>
      <c r="N110" s="82"/>
      <c r="O110" s="82"/>
      <c r="P110" s="80"/>
      <c r="Q110" s="82"/>
      <c r="R110" s="82"/>
      <c r="S110" s="82"/>
      <c r="T110" s="82"/>
      <c r="U110" s="82"/>
      <c r="V110" s="82"/>
      <c r="W110" s="82"/>
      <c r="X110" s="82"/>
      <c r="Y110" s="82"/>
      <c r="Z110" s="82"/>
      <c r="AA110" s="82"/>
      <c r="AB110" s="82"/>
      <c r="AC110" s="82"/>
      <c r="AD110" s="82"/>
      <c r="AE110" s="82"/>
      <c r="AF110" s="82"/>
      <c r="AG110" s="82"/>
      <c r="AH110" s="76"/>
      <c r="AI110" s="76"/>
      <c r="AJ110" s="76"/>
    </row>
    <row r="111" spans="1:37" ht="14.25" customHeight="1" x14ac:dyDescent="0.45">
      <c r="A111" s="75"/>
      <c r="B111" s="75"/>
      <c r="C111" s="76"/>
      <c r="D111" s="75"/>
      <c r="E111" s="77"/>
      <c r="F111" s="78"/>
      <c r="G111" s="79"/>
      <c r="H111" s="80"/>
      <c r="I111" s="81"/>
      <c r="J111" s="81"/>
      <c r="K111" s="82"/>
      <c r="L111" s="80"/>
      <c r="M111" s="82"/>
      <c r="N111" s="82"/>
      <c r="O111" s="82"/>
      <c r="P111" s="80"/>
      <c r="Q111" s="82"/>
      <c r="R111" s="82"/>
      <c r="S111" s="82"/>
      <c r="T111" s="82"/>
      <c r="U111" s="82"/>
      <c r="V111" s="82"/>
      <c r="W111" s="82"/>
      <c r="X111" s="82"/>
      <c r="Y111" s="82"/>
      <c r="Z111" s="82"/>
      <c r="AA111" s="82"/>
      <c r="AB111" s="82"/>
      <c r="AC111" s="82"/>
      <c r="AD111" s="82"/>
      <c r="AE111" s="82"/>
      <c r="AF111" s="82"/>
      <c r="AG111" s="82"/>
      <c r="AH111" s="76"/>
      <c r="AI111" s="76"/>
      <c r="AJ111" s="76"/>
    </row>
    <row r="112" spans="1:37" ht="14.25" customHeight="1" x14ac:dyDescent="0.45">
      <c r="A112" s="75"/>
      <c r="B112" s="75"/>
      <c r="C112" s="76"/>
      <c r="D112" s="75"/>
      <c r="E112" s="77"/>
      <c r="F112" s="78"/>
      <c r="G112" s="79"/>
      <c r="H112" s="80"/>
      <c r="I112" s="81"/>
      <c r="J112" s="81"/>
      <c r="K112" s="82"/>
      <c r="L112" s="80"/>
      <c r="M112" s="82"/>
      <c r="N112" s="82"/>
      <c r="O112" s="82"/>
      <c r="P112" s="80"/>
      <c r="Q112" s="82"/>
      <c r="R112" s="82"/>
      <c r="S112" s="82"/>
      <c r="T112" s="82"/>
      <c r="U112" s="82"/>
      <c r="V112" s="82"/>
      <c r="W112" s="82"/>
      <c r="X112" s="82"/>
      <c r="Y112" s="82"/>
      <c r="Z112" s="82"/>
      <c r="AA112" s="82"/>
      <c r="AB112" s="82"/>
      <c r="AC112" s="82"/>
      <c r="AD112" s="82"/>
      <c r="AE112" s="82"/>
      <c r="AF112" s="82"/>
      <c r="AG112" s="82"/>
      <c r="AH112" s="76"/>
      <c r="AI112" s="76"/>
      <c r="AJ112" s="76"/>
    </row>
    <row r="113" spans="1:36" ht="14.25" customHeight="1" x14ac:dyDescent="0.45">
      <c r="A113" s="75"/>
      <c r="B113" s="75"/>
      <c r="C113" s="76"/>
      <c r="D113" s="75"/>
      <c r="E113" s="77"/>
      <c r="F113" s="78"/>
      <c r="G113" s="79"/>
      <c r="H113" s="80"/>
      <c r="I113" s="81"/>
      <c r="J113" s="81"/>
      <c r="K113" s="82"/>
      <c r="L113" s="80"/>
      <c r="M113" s="82"/>
      <c r="N113" s="82"/>
      <c r="O113" s="82"/>
      <c r="P113" s="80"/>
      <c r="Q113" s="82"/>
      <c r="R113" s="82"/>
      <c r="S113" s="82"/>
      <c r="T113" s="82"/>
      <c r="U113" s="82"/>
      <c r="V113" s="82"/>
      <c r="W113" s="82"/>
      <c r="X113" s="82"/>
      <c r="Y113" s="82"/>
      <c r="Z113" s="82"/>
      <c r="AA113" s="82"/>
      <c r="AB113" s="82"/>
      <c r="AC113" s="82"/>
      <c r="AD113" s="82"/>
      <c r="AE113" s="82"/>
      <c r="AF113" s="82"/>
      <c r="AG113" s="82"/>
      <c r="AH113" s="76"/>
      <c r="AI113" s="76"/>
      <c r="AJ113" s="76"/>
    </row>
    <row r="114" spans="1:36" ht="14.25" customHeight="1" x14ac:dyDescent="0.45">
      <c r="A114" s="75"/>
      <c r="B114" s="75"/>
      <c r="C114" s="76"/>
      <c r="D114" s="75"/>
      <c r="E114" s="77"/>
      <c r="F114" s="78"/>
      <c r="G114" s="79"/>
      <c r="H114" s="80"/>
      <c r="I114" s="81"/>
      <c r="J114" s="81"/>
      <c r="K114" s="82"/>
      <c r="L114" s="80"/>
      <c r="M114" s="82"/>
      <c r="N114" s="82"/>
      <c r="O114" s="82"/>
      <c r="P114" s="80"/>
      <c r="Q114" s="82"/>
      <c r="R114" s="82"/>
      <c r="S114" s="82"/>
      <c r="T114" s="82"/>
      <c r="U114" s="82"/>
      <c r="V114" s="82"/>
      <c r="W114" s="82"/>
      <c r="X114" s="82"/>
      <c r="Y114" s="82"/>
      <c r="Z114" s="82"/>
      <c r="AA114" s="82"/>
      <c r="AB114" s="82"/>
      <c r="AC114" s="82"/>
      <c r="AD114" s="82"/>
      <c r="AE114" s="82"/>
      <c r="AF114" s="82"/>
      <c r="AG114" s="82"/>
      <c r="AH114" s="76"/>
      <c r="AI114" s="76"/>
      <c r="AJ114" s="76"/>
    </row>
    <row r="115" spans="1:36" ht="14.25" customHeight="1" x14ac:dyDescent="0.45">
      <c r="A115" s="75"/>
      <c r="B115" s="75"/>
      <c r="C115" s="76"/>
      <c r="D115" s="75"/>
      <c r="E115" s="77"/>
      <c r="F115" s="78"/>
      <c r="G115" s="79"/>
      <c r="H115" s="80"/>
      <c r="I115" s="81"/>
      <c r="J115" s="81"/>
      <c r="K115" s="82"/>
      <c r="L115" s="80"/>
      <c r="M115" s="82"/>
      <c r="N115" s="82"/>
      <c r="O115" s="82"/>
      <c r="P115" s="80"/>
      <c r="Q115" s="82"/>
      <c r="R115" s="82"/>
      <c r="S115" s="82"/>
      <c r="T115" s="82"/>
      <c r="U115" s="82"/>
      <c r="V115" s="82"/>
      <c r="W115" s="82"/>
      <c r="X115" s="82"/>
      <c r="Y115" s="82"/>
      <c r="Z115" s="82"/>
      <c r="AA115" s="82"/>
      <c r="AB115" s="82"/>
      <c r="AC115" s="82"/>
      <c r="AD115" s="82"/>
      <c r="AE115" s="82"/>
      <c r="AF115" s="82"/>
      <c r="AG115" s="82"/>
      <c r="AH115" s="76"/>
      <c r="AI115" s="76"/>
      <c r="AJ115" s="76"/>
    </row>
    <row r="116" spans="1:36" ht="14.25" customHeight="1" x14ac:dyDescent="0.45">
      <c r="A116" s="75"/>
      <c r="B116" s="75"/>
      <c r="C116" s="76"/>
      <c r="D116" s="75"/>
      <c r="E116" s="77"/>
      <c r="F116" s="78"/>
      <c r="G116" s="79"/>
      <c r="H116" s="80"/>
      <c r="I116" s="81"/>
      <c r="J116" s="81"/>
      <c r="K116" s="82"/>
      <c r="L116" s="80"/>
      <c r="M116" s="82"/>
      <c r="N116" s="82"/>
      <c r="O116" s="82"/>
      <c r="P116" s="80"/>
      <c r="Q116" s="82"/>
      <c r="R116" s="82"/>
      <c r="S116" s="82"/>
      <c r="T116" s="82"/>
      <c r="U116" s="82"/>
      <c r="V116" s="82"/>
      <c r="W116" s="82"/>
      <c r="X116" s="82"/>
      <c r="Y116" s="82"/>
      <c r="Z116" s="82"/>
      <c r="AA116" s="82"/>
      <c r="AB116" s="82"/>
      <c r="AC116" s="82"/>
      <c r="AD116" s="82"/>
      <c r="AE116" s="82"/>
      <c r="AF116" s="82"/>
      <c r="AG116" s="82"/>
      <c r="AH116" s="76"/>
      <c r="AI116" s="76"/>
      <c r="AJ116" s="76"/>
    </row>
    <row r="117" spans="1:36" ht="14.25" customHeight="1" x14ac:dyDescent="0.45">
      <c r="A117" s="75"/>
      <c r="B117" s="75"/>
      <c r="C117" s="76"/>
      <c r="D117" s="75"/>
      <c r="E117" s="77"/>
      <c r="F117" s="78"/>
      <c r="G117" s="79"/>
      <c r="H117" s="80"/>
      <c r="I117" s="81"/>
      <c r="J117" s="81"/>
      <c r="K117" s="82"/>
      <c r="L117" s="80"/>
      <c r="M117" s="82"/>
      <c r="N117" s="82"/>
      <c r="O117" s="82"/>
      <c r="P117" s="80"/>
      <c r="Q117" s="82"/>
      <c r="R117" s="82"/>
      <c r="S117" s="82"/>
      <c r="T117" s="82"/>
      <c r="U117" s="82"/>
      <c r="V117" s="82"/>
      <c r="W117" s="82"/>
      <c r="X117" s="82"/>
      <c r="Y117" s="82"/>
      <c r="Z117" s="82"/>
      <c r="AA117" s="82"/>
      <c r="AB117" s="82"/>
      <c r="AC117" s="82"/>
      <c r="AD117" s="82"/>
      <c r="AE117" s="82"/>
      <c r="AF117" s="82"/>
      <c r="AG117" s="82"/>
      <c r="AH117" s="76"/>
      <c r="AI117" s="76"/>
      <c r="AJ117" s="76"/>
    </row>
    <row r="118" spans="1:36" ht="14.25" customHeight="1" x14ac:dyDescent="0.45">
      <c r="A118" s="75"/>
      <c r="B118" s="75"/>
      <c r="C118" s="76"/>
      <c r="D118" s="75"/>
      <c r="E118" s="77"/>
      <c r="F118" s="78"/>
      <c r="G118" s="79"/>
      <c r="H118" s="80"/>
      <c r="I118" s="81"/>
      <c r="J118" s="81"/>
      <c r="K118" s="82"/>
      <c r="L118" s="80"/>
      <c r="M118" s="82"/>
      <c r="N118" s="82"/>
      <c r="O118" s="82"/>
      <c r="P118" s="80"/>
      <c r="Q118" s="82"/>
      <c r="R118" s="82"/>
      <c r="S118" s="82"/>
      <c r="T118" s="82"/>
      <c r="U118" s="82"/>
      <c r="V118" s="82"/>
      <c r="W118" s="82"/>
      <c r="X118" s="82"/>
      <c r="Y118" s="82"/>
      <c r="Z118" s="82"/>
      <c r="AA118" s="82"/>
      <c r="AB118" s="82"/>
      <c r="AC118" s="82"/>
      <c r="AD118" s="82"/>
      <c r="AE118" s="82"/>
      <c r="AF118" s="82"/>
      <c r="AG118" s="82"/>
      <c r="AH118" s="76"/>
      <c r="AI118" s="76"/>
      <c r="AJ118" s="76"/>
    </row>
    <row r="119" spans="1:36" ht="14.25" customHeight="1" x14ac:dyDescent="0.45">
      <c r="A119" s="75"/>
      <c r="B119" s="75"/>
      <c r="C119" s="76"/>
      <c r="D119" s="75"/>
      <c r="E119" s="77"/>
      <c r="F119" s="78"/>
      <c r="G119" s="79"/>
      <c r="H119" s="80"/>
      <c r="I119" s="81"/>
      <c r="J119" s="81"/>
      <c r="K119" s="82"/>
      <c r="L119" s="80"/>
      <c r="M119" s="82"/>
      <c r="N119" s="82"/>
      <c r="O119" s="82"/>
      <c r="P119" s="80"/>
      <c r="Q119" s="82"/>
      <c r="R119" s="82"/>
      <c r="S119" s="82"/>
      <c r="T119" s="82"/>
      <c r="U119" s="82"/>
      <c r="V119" s="82"/>
      <c r="W119" s="82"/>
      <c r="X119" s="82"/>
      <c r="Y119" s="82"/>
      <c r="Z119" s="82"/>
      <c r="AA119" s="82"/>
      <c r="AB119" s="82"/>
      <c r="AC119" s="82"/>
      <c r="AD119" s="82"/>
      <c r="AE119" s="82"/>
      <c r="AF119" s="82"/>
      <c r="AG119" s="82"/>
      <c r="AH119" s="76"/>
      <c r="AI119" s="76"/>
      <c r="AJ119" s="76"/>
    </row>
    <row r="120" spans="1:36" ht="14.25" customHeight="1" x14ac:dyDescent="0.4">
      <c r="C120" s="1"/>
      <c r="E120" s="2"/>
      <c r="F120" s="3"/>
      <c r="G120" s="4"/>
      <c r="H120" s="5"/>
      <c r="I120" s="6"/>
      <c r="J120" s="6"/>
      <c r="K120" s="7"/>
      <c r="L120" s="5"/>
      <c r="M120" s="7"/>
      <c r="N120" s="7"/>
      <c r="O120" s="7"/>
      <c r="P120" s="5"/>
      <c r="Q120" s="7"/>
      <c r="R120" s="7"/>
      <c r="S120" s="7"/>
      <c r="T120" s="7"/>
      <c r="U120" s="7"/>
      <c r="V120" s="7"/>
      <c r="W120" s="7"/>
      <c r="X120" s="7"/>
      <c r="Y120" s="7"/>
      <c r="Z120" s="7"/>
      <c r="AA120" s="7"/>
      <c r="AB120" s="7"/>
      <c r="AC120" s="7"/>
      <c r="AD120" s="7"/>
      <c r="AE120" s="7"/>
      <c r="AF120" s="7"/>
      <c r="AG120" s="7"/>
      <c r="AH120" s="1"/>
      <c r="AI120" s="1"/>
      <c r="AJ120" s="1"/>
    </row>
    <row r="121" spans="1:36" ht="14.25" customHeight="1" x14ac:dyDescent="0.4">
      <c r="C121" s="1"/>
      <c r="E121" s="2"/>
      <c r="F121" s="3"/>
      <c r="G121" s="4"/>
      <c r="H121" s="5"/>
      <c r="I121" s="6"/>
      <c r="J121" s="6"/>
      <c r="K121" s="7"/>
      <c r="L121" s="5"/>
      <c r="M121" s="7"/>
      <c r="N121" s="7"/>
      <c r="O121" s="7"/>
      <c r="P121" s="5"/>
      <c r="Q121" s="7"/>
      <c r="R121" s="7"/>
      <c r="S121" s="7"/>
      <c r="T121" s="7"/>
      <c r="U121" s="7"/>
      <c r="V121" s="7"/>
      <c r="W121" s="7"/>
      <c r="X121" s="7"/>
      <c r="Y121" s="7"/>
      <c r="Z121" s="7"/>
      <c r="AA121" s="7"/>
      <c r="AB121" s="7"/>
      <c r="AC121" s="7"/>
      <c r="AD121" s="7"/>
      <c r="AE121" s="7"/>
      <c r="AF121" s="7"/>
      <c r="AG121" s="7"/>
      <c r="AH121" s="1"/>
      <c r="AI121" s="1"/>
      <c r="AJ121" s="1"/>
    </row>
    <row r="122" spans="1:36" ht="14.25" customHeight="1" x14ac:dyDescent="0.4">
      <c r="C122" s="1"/>
      <c r="E122" s="2"/>
      <c r="F122" s="3"/>
      <c r="G122" s="4"/>
      <c r="H122" s="5"/>
      <c r="I122" s="6"/>
      <c r="J122" s="6"/>
      <c r="K122" s="7"/>
      <c r="L122" s="5"/>
      <c r="M122" s="7"/>
      <c r="N122" s="7"/>
      <c r="O122" s="7"/>
      <c r="P122" s="5"/>
      <c r="Q122" s="7"/>
      <c r="R122" s="7"/>
      <c r="S122" s="7"/>
      <c r="T122" s="7"/>
      <c r="U122" s="7"/>
      <c r="V122" s="7"/>
      <c r="W122" s="7"/>
      <c r="X122" s="7"/>
      <c r="Y122" s="7"/>
      <c r="Z122" s="7"/>
      <c r="AA122" s="7"/>
      <c r="AB122" s="7"/>
      <c r="AC122" s="7"/>
      <c r="AD122" s="7"/>
      <c r="AE122" s="7"/>
      <c r="AF122" s="7"/>
      <c r="AG122" s="7"/>
      <c r="AH122" s="1"/>
      <c r="AI122" s="1"/>
      <c r="AJ122" s="1"/>
    </row>
    <row r="123" spans="1:36" ht="14.25" customHeight="1" x14ac:dyDescent="0.4">
      <c r="C123" s="1"/>
      <c r="E123" s="2"/>
      <c r="F123" s="3"/>
      <c r="G123" s="4"/>
      <c r="H123" s="5"/>
      <c r="I123" s="6"/>
      <c r="J123" s="6"/>
      <c r="K123" s="7"/>
      <c r="L123" s="5"/>
      <c r="M123" s="7"/>
      <c r="N123" s="7"/>
      <c r="O123" s="7"/>
      <c r="P123" s="5"/>
      <c r="Q123" s="7"/>
      <c r="R123" s="7"/>
      <c r="S123" s="7"/>
      <c r="T123" s="7"/>
      <c r="U123" s="7"/>
      <c r="V123" s="7"/>
      <c r="W123" s="7"/>
      <c r="X123" s="7"/>
      <c r="Y123" s="7"/>
      <c r="Z123" s="7"/>
      <c r="AA123" s="7"/>
      <c r="AB123" s="7"/>
      <c r="AC123" s="7"/>
      <c r="AD123" s="7"/>
      <c r="AE123" s="7"/>
      <c r="AF123" s="7"/>
      <c r="AG123" s="7"/>
      <c r="AH123" s="1"/>
      <c r="AI123" s="1"/>
      <c r="AJ123" s="1"/>
    </row>
    <row r="124" spans="1:36" ht="14.25" customHeight="1" x14ac:dyDescent="0.4">
      <c r="C124" s="1"/>
      <c r="E124" s="2"/>
      <c r="F124" s="3"/>
      <c r="G124" s="4"/>
      <c r="H124" s="5"/>
      <c r="I124" s="6"/>
      <c r="J124" s="6"/>
      <c r="K124" s="7"/>
      <c r="L124" s="5"/>
      <c r="M124" s="7"/>
      <c r="N124" s="7"/>
      <c r="O124" s="7"/>
      <c r="P124" s="5"/>
      <c r="Q124" s="7"/>
      <c r="R124" s="7"/>
      <c r="S124" s="7"/>
      <c r="T124" s="7"/>
      <c r="U124" s="7"/>
      <c r="V124" s="7"/>
      <c r="W124" s="7"/>
      <c r="X124" s="7"/>
      <c r="Y124" s="7"/>
      <c r="Z124" s="7"/>
      <c r="AA124" s="7"/>
      <c r="AB124" s="7"/>
      <c r="AC124" s="7"/>
      <c r="AD124" s="7"/>
      <c r="AE124" s="7"/>
      <c r="AF124" s="7"/>
      <c r="AG124" s="7"/>
      <c r="AH124" s="1"/>
      <c r="AI124" s="1"/>
      <c r="AJ124" s="1"/>
    </row>
    <row r="125" spans="1:36" ht="14.25" customHeight="1" x14ac:dyDescent="0.4">
      <c r="C125" s="1"/>
      <c r="E125" s="2"/>
      <c r="F125" s="3"/>
      <c r="G125" s="4"/>
      <c r="H125" s="5"/>
      <c r="I125" s="6"/>
      <c r="J125" s="6"/>
      <c r="K125" s="7"/>
      <c r="L125" s="5"/>
      <c r="M125" s="7"/>
      <c r="N125" s="7"/>
      <c r="O125" s="7"/>
      <c r="P125" s="5"/>
      <c r="Q125" s="7"/>
      <c r="R125" s="7"/>
      <c r="S125" s="7"/>
      <c r="T125" s="7"/>
      <c r="U125" s="7"/>
      <c r="V125" s="7"/>
      <c r="W125" s="7"/>
      <c r="X125" s="7"/>
      <c r="Y125" s="7"/>
      <c r="Z125" s="7"/>
      <c r="AA125" s="7"/>
      <c r="AB125" s="7"/>
      <c r="AC125" s="7"/>
      <c r="AD125" s="7"/>
      <c r="AE125" s="7"/>
      <c r="AF125" s="7"/>
      <c r="AG125" s="7"/>
      <c r="AH125" s="1"/>
      <c r="AI125" s="1"/>
      <c r="AJ125" s="1"/>
    </row>
    <row r="126" spans="1:36" ht="14.25" customHeight="1" x14ac:dyDescent="0.4">
      <c r="C126" s="1"/>
      <c r="E126" s="2"/>
      <c r="F126" s="3"/>
      <c r="G126" s="4"/>
      <c r="H126" s="5"/>
      <c r="I126" s="6"/>
      <c r="J126" s="6"/>
      <c r="K126" s="7"/>
      <c r="L126" s="5"/>
      <c r="M126" s="7"/>
      <c r="N126" s="7"/>
      <c r="O126" s="7"/>
      <c r="P126" s="5"/>
      <c r="Q126" s="7"/>
      <c r="R126" s="7"/>
      <c r="S126" s="7"/>
      <c r="T126" s="7"/>
      <c r="U126" s="7"/>
      <c r="V126" s="7"/>
      <c r="W126" s="7"/>
      <c r="X126" s="7"/>
      <c r="Y126" s="7"/>
      <c r="Z126" s="7"/>
      <c r="AA126" s="7"/>
      <c r="AB126" s="7"/>
      <c r="AC126" s="7"/>
      <c r="AD126" s="7"/>
      <c r="AE126" s="7"/>
      <c r="AF126" s="7"/>
      <c r="AG126" s="7"/>
      <c r="AH126" s="1"/>
      <c r="AI126" s="1"/>
      <c r="AJ126" s="1"/>
    </row>
    <row r="127" spans="1:36" ht="14.25" customHeight="1" x14ac:dyDescent="0.4">
      <c r="C127" s="1"/>
      <c r="E127" s="2"/>
      <c r="F127" s="3"/>
      <c r="G127" s="4"/>
      <c r="H127" s="5"/>
      <c r="I127" s="6"/>
      <c r="J127" s="6"/>
      <c r="K127" s="7"/>
      <c r="L127" s="5"/>
      <c r="M127" s="7"/>
      <c r="N127" s="7"/>
      <c r="O127" s="7"/>
      <c r="P127" s="5"/>
      <c r="Q127" s="7"/>
      <c r="R127" s="7"/>
      <c r="S127" s="7"/>
      <c r="T127" s="7"/>
      <c r="U127" s="7"/>
      <c r="V127" s="7"/>
      <c r="W127" s="7"/>
      <c r="X127" s="7"/>
      <c r="Y127" s="7"/>
      <c r="Z127" s="7"/>
      <c r="AA127" s="7"/>
      <c r="AB127" s="7"/>
      <c r="AC127" s="7"/>
      <c r="AD127" s="7"/>
      <c r="AE127" s="7"/>
      <c r="AF127" s="7"/>
      <c r="AG127" s="7"/>
      <c r="AH127" s="1"/>
      <c r="AI127" s="1"/>
      <c r="AJ127" s="1"/>
    </row>
    <row r="128" spans="1:36" ht="14.25" customHeight="1" x14ac:dyDescent="0.4">
      <c r="C128" s="1"/>
      <c r="E128" s="2"/>
      <c r="F128" s="3"/>
      <c r="G128" s="4"/>
      <c r="H128" s="5"/>
      <c r="I128" s="6"/>
      <c r="J128" s="6"/>
      <c r="K128" s="7"/>
      <c r="L128" s="5"/>
      <c r="M128" s="7"/>
      <c r="N128" s="7"/>
      <c r="O128" s="7"/>
      <c r="P128" s="5"/>
      <c r="Q128" s="7"/>
      <c r="R128" s="7"/>
      <c r="S128" s="7"/>
      <c r="T128" s="7"/>
      <c r="U128" s="7"/>
      <c r="V128" s="7"/>
      <c r="W128" s="7"/>
      <c r="X128" s="7"/>
      <c r="Y128" s="7"/>
      <c r="Z128" s="7"/>
      <c r="AA128" s="7"/>
      <c r="AB128" s="7"/>
      <c r="AC128" s="7"/>
      <c r="AD128" s="7"/>
      <c r="AE128" s="7"/>
      <c r="AF128" s="7"/>
      <c r="AG128" s="7"/>
      <c r="AH128" s="1"/>
      <c r="AI128" s="1"/>
      <c r="AJ128" s="1"/>
    </row>
    <row r="129" spans="3:36" ht="14.25" customHeight="1" x14ac:dyDescent="0.4">
      <c r="C129" s="1"/>
      <c r="E129" s="2"/>
      <c r="F129" s="3"/>
      <c r="G129" s="4"/>
      <c r="H129" s="5"/>
      <c r="I129" s="6"/>
      <c r="J129" s="6"/>
      <c r="K129" s="7"/>
      <c r="L129" s="5"/>
      <c r="M129" s="7"/>
      <c r="N129" s="7"/>
      <c r="O129" s="7"/>
      <c r="P129" s="5"/>
      <c r="Q129" s="7"/>
      <c r="R129" s="7"/>
      <c r="S129" s="7"/>
      <c r="T129" s="7"/>
      <c r="U129" s="7"/>
      <c r="V129" s="7"/>
      <c r="W129" s="7"/>
      <c r="X129" s="7"/>
      <c r="Y129" s="7"/>
      <c r="Z129" s="7"/>
      <c r="AA129" s="7"/>
      <c r="AB129" s="7"/>
      <c r="AC129" s="7"/>
      <c r="AD129" s="7"/>
      <c r="AE129" s="7"/>
      <c r="AF129" s="7"/>
      <c r="AG129" s="7"/>
      <c r="AH129" s="1"/>
      <c r="AI129" s="1"/>
      <c r="AJ129" s="1"/>
    </row>
    <row r="130" spans="3:36" ht="14.25" customHeight="1" x14ac:dyDescent="0.4">
      <c r="C130" s="1"/>
      <c r="E130" s="2"/>
      <c r="F130" s="3"/>
      <c r="G130" s="4"/>
      <c r="H130" s="5"/>
      <c r="I130" s="6"/>
      <c r="J130" s="6"/>
      <c r="K130" s="7"/>
      <c r="L130" s="5"/>
      <c r="M130" s="7"/>
      <c r="N130" s="7"/>
      <c r="O130" s="7"/>
      <c r="P130" s="5"/>
      <c r="Q130" s="7"/>
      <c r="R130" s="7"/>
      <c r="S130" s="7"/>
      <c r="T130" s="7"/>
      <c r="U130" s="7"/>
      <c r="V130" s="7"/>
      <c r="W130" s="7"/>
      <c r="X130" s="7"/>
      <c r="Y130" s="7"/>
      <c r="Z130" s="7"/>
      <c r="AA130" s="7"/>
      <c r="AB130" s="7"/>
      <c r="AC130" s="7"/>
      <c r="AD130" s="7"/>
      <c r="AE130" s="7"/>
      <c r="AF130" s="7"/>
      <c r="AG130" s="7"/>
      <c r="AH130" s="1"/>
      <c r="AI130" s="1"/>
      <c r="AJ130" s="1"/>
    </row>
    <row r="131" spans="3:36" ht="14.25" customHeight="1" x14ac:dyDescent="0.4">
      <c r="C131" s="1"/>
      <c r="E131" s="2"/>
      <c r="F131" s="3"/>
      <c r="G131" s="4"/>
      <c r="H131" s="5"/>
      <c r="I131" s="6"/>
      <c r="J131" s="6"/>
      <c r="K131" s="7"/>
      <c r="L131" s="5"/>
      <c r="M131" s="7"/>
      <c r="N131" s="7"/>
      <c r="O131" s="7"/>
      <c r="P131" s="5"/>
      <c r="Q131" s="7"/>
      <c r="R131" s="7"/>
      <c r="S131" s="7"/>
      <c r="T131" s="7"/>
      <c r="U131" s="7"/>
      <c r="V131" s="7"/>
      <c r="W131" s="7"/>
      <c r="X131" s="7"/>
      <c r="Y131" s="7"/>
      <c r="Z131" s="7"/>
      <c r="AA131" s="7"/>
      <c r="AB131" s="7"/>
      <c r="AC131" s="7"/>
      <c r="AD131" s="7"/>
      <c r="AE131" s="7"/>
      <c r="AF131" s="7"/>
      <c r="AG131" s="7"/>
      <c r="AH131" s="1"/>
      <c r="AI131" s="1"/>
      <c r="AJ131" s="1"/>
    </row>
    <row r="132" spans="3:36" ht="14.25" customHeight="1" x14ac:dyDescent="0.4">
      <c r="C132" s="1"/>
      <c r="E132" s="2"/>
      <c r="F132" s="3"/>
      <c r="G132" s="4"/>
      <c r="H132" s="5"/>
      <c r="I132" s="6"/>
      <c r="J132" s="6"/>
      <c r="K132" s="7"/>
      <c r="L132" s="5"/>
      <c r="M132" s="7"/>
      <c r="N132" s="7"/>
      <c r="O132" s="7"/>
      <c r="P132" s="5"/>
      <c r="Q132" s="7"/>
      <c r="R132" s="7"/>
      <c r="S132" s="7"/>
      <c r="T132" s="7"/>
      <c r="U132" s="7"/>
      <c r="V132" s="7"/>
      <c r="W132" s="7"/>
      <c r="X132" s="7"/>
      <c r="Y132" s="7"/>
      <c r="Z132" s="7"/>
      <c r="AA132" s="7"/>
      <c r="AB132" s="7"/>
      <c r="AC132" s="7"/>
      <c r="AD132" s="7"/>
      <c r="AE132" s="7"/>
      <c r="AF132" s="7"/>
      <c r="AG132" s="7"/>
      <c r="AH132" s="1"/>
      <c r="AI132" s="1"/>
      <c r="AJ132" s="1"/>
    </row>
    <row r="133" spans="3:36" ht="14.25" customHeight="1" x14ac:dyDescent="0.4">
      <c r="C133" s="1"/>
      <c r="E133" s="2"/>
      <c r="F133" s="3"/>
      <c r="G133" s="4"/>
      <c r="H133" s="5"/>
      <c r="I133" s="6"/>
      <c r="J133" s="6"/>
      <c r="K133" s="7"/>
      <c r="L133" s="5"/>
      <c r="M133" s="7"/>
      <c r="N133" s="7"/>
      <c r="O133" s="7"/>
      <c r="P133" s="5"/>
      <c r="Q133" s="7"/>
      <c r="R133" s="7"/>
      <c r="S133" s="7"/>
      <c r="T133" s="7"/>
      <c r="U133" s="7"/>
      <c r="V133" s="7"/>
      <c r="W133" s="7"/>
      <c r="X133" s="7"/>
      <c r="Y133" s="7"/>
      <c r="Z133" s="7"/>
      <c r="AA133" s="7"/>
      <c r="AB133" s="7"/>
      <c r="AC133" s="7"/>
      <c r="AD133" s="7"/>
      <c r="AE133" s="7"/>
      <c r="AF133" s="7"/>
      <c r="AG133" s="7"/>
      <c r="AH133" s="1"/>
      <c r="AI133" s="1"/>
      <c r="AJ133" s="1"/>
    </row>
    <row r="134" spans="3:36" ht="14.25" customHeight="1" x14ac:dyDescent="0.4">
      <c r="C134" s="1"/>
      <c r="E134" s="2"/>
      <c r="F134" s="3"/>
      <c r="G134" s="4"/>
      <c r="H134" s="5"/>
      <c r="I134" s="6"/>
      <c r="J134" s="6"/>
      <c r="K134" s="7"/>
      <c r="L134" s="5"/>
      <c r="M134" s="7"/>
      <c r="N134" s="7"/>
      <c r="O134" s="7"/>
      <c r="P134" s="5"/>
      <c r="Q134" s="7"/>
      <c r="R134" s="7"/>
      <c r="S134" s="7"/>
      <c r="T134" s="7"/>
      <c r="U134" s="7"/>
      <c r="V134" s="7"/>
      <c r="W134" s="7"/>
      <c r="X134" s="7"/>
      <c r="Y134" s="7"/>
      <c r="Z134" s="7"/>
      <c r="AA134" s="7"/>
      <c r="AB134" s="7"/>
      <c r="AC134" s="7"/>
      <c r="AD134" s="7"/>
      <c r="AE134" s="7"/>
      <c r="AF134" s="7"/>
      <c r="AG134" s="7"/>
      <c r="AH134" s="1"/>
      <c r="AI134" s="1"/>
      <c r="AJ134" s="1"/>
    </row>
    <row r="135" spans="3:36" ht="14.25" customHeight="1" x14ac:dyDescent="0.4">
      <c r="C135" s="1"/>
      <c r="E135" s="2"/>
      <c r="F135" s="3"/>
      <c r="G135" s="4"/>
      <c r="H135" s="5"/>
      <c r="I135" s="6"/>
      <c r="J135" s="6"/>
      <c r="K135" s="7"/>
      <c r="L135" s="5"/>
      <c r="M135" s="7"/>
      <c r="N135" s="7"/>
      <c r="O135" s="7"/>
      <c r="P135" s="5"/>
      <c r="Q135" s="7"/>
      <c r="R135" s="7"/>
      <c r="S135" s="7"/>
      <c r="T135" s="7"/>
      <c r="U135" s="7"/>
      <c r="V135" s="7"/>
      <c r="W135" s="7"/>
      <c r="X135" s="7"/>
      <c r="Y135" s="7"/>
      <c r="Z135" s="7"/>
      <c r="AA135" s="7"/>
      <c r="AB135" s="7"/>
      <c r="AC135" s="7"/>
      <c r="AD135" s="7"/>
      <c r="AE135" s="7"/>
      <c r="AF135" s="7"/>
      <c r="AG135" s="7"/>
      <c r="AH135" s="1"/>
      <c r="AI135" s="1"/>
      <c r="AJ135" s="1"/>
    </row>
    <row r="136" spans="3:36" ht="14.25" customHeight="1" x14ac:dyDescent="0.4">
      <c r="C136" s="1"/>
      <c r="E136" s="2"/>
      <c r="F136" s="3"/>
      <c r="G136" s="4"/>
      <c r="H136" s="5"/>
      <c r="I136" s="6"/>
      <c r="J136" s="6"/>
      <c r="K136" s="7"/>
      <c r="L136" s="5"/>
      <c r="M136" s="7"/>
      <c r="N136" s="7"/>
      <c r="O136" s="7"/>
      <c r="P136" s="5"/>
      <c r="Q136" s="7"/>
      <c r="R136" s="7"/>
      <c r="S136" s="7"/>
      <c r="T136" s="7"/>
      <c r="U136" s="7"/>
      <c r="V136" s="7"/>
      <c r="W136" s="7"/>
      <c r="X136" s="7"/>
      <c r="Y136" s="7"/>
      <c r="Z136" s="7"/>
      <c r="AA136" s="7"/>
      <c r="AB136" s="7"/>
      <c r="AC136" s="7"/>
      <c r="AD136" s="7"/>
      <c r="AE136" s="7"/>
      <c r="AF136" s="7"/>
      <c r="AG136" s="7"/>
      <c r="AH136" s="1"/>
      <c r="AI136" s="1"/>
      <c r="AJ136" s="1"/>
    </row>
    <row r="137" spans="3:36" ht="14.25" customHeight="1" x14ac:dyDescent="0.4">
      <c r="C137" s="1"/>
      <c r="E137" s="2"/>
      <c r="F137" s="3"/>
      <c r="G137" s="4"/>
      <c r="H137" s="5"/>
      <c r="I137" s="6"/>
      <c r="J137" s="6"/>
      <c r="K137" s="7"/>
      <c r="L137" s="5"/>
      <c r="M137" s="7"/>
      <c r="N137" s="7"/>
      <c r="O137" s="7"/>
      <c r="P137" s="5"/>
      <c r="Q137" s="7"/>
      <c r="R137" s="7"/>
      <c r="S137" s="7"/>
      <c r="T137" s="7"/>
      <c r="U137" s="7"/>
      <c r="V137" s="7"/>
      <c r="W137" s="7"/>
      <c r="X137" s="7"/>
      <c r="Y137" s="7"/>
      <c r="Z137" s="7"/>
      <c r="AA137" s="7"/>
      <c r="AB137" s="7"/>
      <c r="AC137" s="7"/>
      <c r="AD137" s="7"/>
      <c r="AE137" s="7"/>
      <c r="AF137" s="7"/>
      <c r="AG137" s="7"/>
      <c r="AH137" s="1"/>
      <c r="AI137" s="1"/>
      <c r="AJ137" s="1"/>
    </row>
    <row r="138" spans="3:36" ht="14.25" customHeight="1" x14ac:dyDescent="0.4">
      <c r="C138" s="1"/>
      <c r="E138" s="2"/>
      <c r="F138" s="3"/>
      <c r="G138" s="4"/>
      <c r="H138" s="5"/>
      <c r="I138" s="6"/>
      <c r="J138" s="6"/>
      <c r="K138" s="7"/>
      <c r="L138" s="5"/>
      <c r="M138" s="7"/>
      <c r="N138" s="7"/>
      <c r="O138" s="7"/>
      <c r="P138" s="5"/>
      <c r="Q138" s="7"/>
      <c r="R138" s="7"/>
      <c r="S138" s="7"/>
      <c r="T138" s="7"/>
      <c r="U138" s="7"/>
      <c r="V138" s="7"/>
      <c r="W138" s="7"/>
      <c r="X138" s="7"/>
      <c r="Y138" s="7"/>
      <c r="Z138" s="7"/>
      <c r="AA138" s="7"/>
      <c r="AB138" s="7"/>
      <c r="AC138" s="7"/>
      <c r="AD138" s="7"/>
      <c r="AE138" s="7"/>
      <c r="AF138" s="7"/>
      <c r="AG138" s="7"/>
      <c r="AH138" s="1"/>
      <c r="AI138" s="1"/>
      <c r="AJ138" s="1"/>
    </row>
    <row r="139" spans="3:36" ht="14.25" customHeight="1" x14ac:dyDescent="0.4">
      <c r="C139" s="1"/>
      <c r="E139" s="2"/>
      <c r="F139" s="3"/>
      <c r="G139" s="4"/>
      <c r="H139" s="5"/>
      <c r="I139" s="6"/>
      <c r="J139" s="6"/>
      <c r="K139" s="7"/>
      <c r="L139" s="5"/>
      <c r="M139" s="7"/>
      <c r="N139" s="7"/>
      <c r="O139" s="7"/>
      <c r="P139" s="5"/>
      <c r="Q139" s="7"/>
      <c r="R139" s="7"/>
      <c r="S139" s="7"/>
      <c r="T139" s="7"/>
      <c r="U139" s="7"/>
      <c r="V139" s="7"/>
      <c r="W139" s="7"/>
      <c r="X139" s="7"/>
      <c r="Y139" s="7"/>
      <c r="Z139" s="7"/>
      <c r="AA139" s="7"/>
      <c r="AB139" s="7"/>
      <c r="AC139" s="7"/>
      <c r="AD139" s="7"/>
      <c r="AE139" s="7"/>
      <c r="AF139" s="7"/>
      <c r="AG139" s="7"/>
      <c r="AH139" s="1"/>
      <c r="AI139" s="1"/>
      <c r="AJ139" s="1"/>
    </row>
    <row r="140" spans="3:36" ht="14.25" customHeight="1" x14ac:dyDescent="0.4">
      <c r="C140" s="1"/>
      <c r="E140" s="2"/>
      <c r="F140" s="3"/>
      <c r="G140" s="4"/>
      <c r="H140" s="5"/>
      <c r="I140" s="6"/>
      <c r="J140" s="6"/>
      <c r="K140" s="7"/>
      <c r="L140" s="5"/>
      <c r="M140" s="7"/>
      <c r="N140" s="7"/>
      <c r="O140" s="7"/>
      <c r="P140" s="5"/>
      <c r="Q140" s="7"/>
      <c r="R140" s="7"/>
      <c r="S140" s="7"/>
      <c r="T140" s="7"/>
      <c r="U140" s="7"/>
      <c r="V140" s="7"/>
      <c r="W140" s="7"/>
      <c r="X140" s="7"/>
      <c r="Y140" s="7"/>
      <c r="Z140" s="7"/>
      <c r="AA140" s="7"/>
      <c r="AB140" s="7"/>
      <c r="AC140" s="7"/>
      <c r="AD140" s="7"/>
      <c r="AE140" s="7"/>
      <c r="AF140" s="7"/>
      <c r="AG140" s="7"/>
      <c r="AH140" s="1"/>
      <c r="AI140" s="1"/>
      <c r="AJ140" s="1"/>
    </row>
    <row r="141" spans="3:36" ht="14.25" customHeight="1" x14ac:dyDescent="0.4">
      <c r="C141" s="1"/>
      <c r="E141" s="2"/>
      <c r="F141" s="3"/>
      <c r="G141" s="4"/>
      <c r="H141" s="5"/>
      <c r="I141" s="6"/>
      <c r="J141" s="6"/>
      <c r="K141" s="7"/>
      <c r="L141" s="5"/>
      <c r="M141" s="7"/>
      <c r="N141" s="7"/>
      <c r="O141" s="7"/>
      <c r="P141" s="5"/>
      <c r="Q141" s="7"/>
      <c r="R141" s="7"/>
      <c r="S141" s="7"/>
      <c r="T141" s="7"/>
      <c r="U141" s="7"/>
      <c r="V141" s="7"/>
      <c r="W141" s="7"/>
      <c r="X141" s="7"/>
      <c r="Y141" s="7"/>
      <c r="Z141" s="7"/>
      <c r="AA141" s="7"/>
      <c r="AB141" s="7"/>
      <c r="AC141" s="7"/>
      <c r="AD141" s="7"/>
      <c r="AE141" s="7"/>
      <c r="AF141" s="7"/>
      <c r="AG141" s="7"/>
      <c r="AH141" s="1"/>
      <c r="AI141" s="1"/>
      <c r="AJ141" s="1"/>
    </row>
    <row r="142" spans="3:36" ht="14.25" customHeight="1" x14ac:dyDescent="0.4">
      <c r="C142" s="1"/>
      <c r="E142" s="2"/>
      <c r="F142" s="3"/>
      <c r="G142" s="4"/>
      <c r="H142" s="5"/>
      <c r="I142" s="6"/>
      <c r="J142" s="6"/>
      <c r="K142" s="7"/>
      <c r="L142" s="5"/>
      <c r="M142" s="7"/>
      <c r="N142" s="7"/>
      <c r="O142" s="7"/>
      <c r="P142" s="5"/>
      <c r="Q142" s="7"/>
      <c r="R142" s="7"/>
      <c r="S142" s="7"/>
      <c r="T142" s="7"/>
      <c r="U142" s="7"/>
      <c r="V142" s="7"/>
      <c r="W142" s="7"/>
      <c r="X142" s="7"/>
      <c r="Y142" s="7"/>
      <c r="Z142" s="7"/>
      <c r="AA142" s="7"/>
      <c r="AB142" s="7"/>
      <c r="AC142" s="7"/>
      <c r="AD142" s="7"/>
      <c r="AE142" s="7"/>
      <c r="AF142" s="7"/>
      <c r="AG142" s="7"/>
      <c r="AH142" s="1"/>
      <c r="AI142" s="1"/>
      <c r="AJ142" s="1"/>
    </row>
    <row r="143" spans="3:36" ht="14.25" customHeight="1" x14ac:dyDescent="0.4">
      <c r="C143" s="1"/>
      <c r="E143" s="2"/>
      <c r="F143" s="3"/>
      <c r="G143" s="4"/>
      <c r="H143" s="5"/>
      <c r="I143" s="6"/>
      <c r="J143" s="6"/>
      <c r="K143" s="7"/>
      <c r="L143" s="5"/>
      <c r="M143" s="7"/>
      <c r="N143" s="7"/>
      <c r="O143" s="7"/>
      <c r="P143" s="5"/>
      <c r="Q143" s="7"/>
      <c r="R143" s="7"/>
      <c r="S143" s="7"/>
      <c r="T143" s="7"/>
      <c r="U143" s="7"/>
      <c r="V143" s="7"/>
      <c r="W143" s="7"/>
      <c r="X143" s="7"/>
      <c r="Y143" s="7"/>
      <c r="Z143" s="7"/>
      <c r="AA143" s="7"/>
      <c r="AB143" s="7"/>
      <c r="AC143" s="7"/>
      <c r="AD143" s="7"/>
      <c r="AE143" s="7"/>
      <c r="AF143" s="7"/>
      <c r="AG143" s="7"/>
      <c r="AH143" s="1"/>
      <c r="AI143" s="1"/>
      <c r="AJ143" s="1"/>
    </row>
    <row r="144" spans="3:36" ht="14.25" customHeight="1" x14ac:dyDescent="0.4">
      <c r="C144" s="1"/>
      <c r="E144" s="2"/>
      <c r="F144" s="3"/>
      <c r="G144" s="4"/>
      <c r="H144" s="5"/>
      <c r="I144" s="6"/>
      <c r="J144" s="6"/>
      <c r="K144" s="7"/>
      <c r="L144" s="5"/>
      <c r="M144" s="7"/>
      <c r="N144" s="7"/>
      <c r="O144" s="7"/>
      <c r="P144" s="5"/>
      <c r="Q144" s="7"/>
      <c r="R144" s="7"/>
      <c r="S144" s="7"/>
      <c r="T144" s="7"/>
      <c r="U144" s="7"/>
      <c r="V144" s="7"/>
      <c r="W144" s="7"/>
      <c r="X144" s="7"/>
      <c r="Y144" s="7"/>
      <c r="Z144" s="7"/>
      <c r="AA144" s="7"/>
      <c r="AB144" s="7"/>
      <c r="AC144" s="7"/>
      <c r="AD144" s="7"/>
      <c r="AE144" s="7"/>
      <c r="AF144" s="7"/>
      <c r="AG144" s="7"/>
      <c r="AH144" s="1"/>
      <c r="AI144" s="1"/>
      <c r="AJ144" s="1"/>
    </row>
    <row r="145" spans="3:36" ht="14.25" customHeight="1" x14ac:dyDescent="0.4">
      <c r="C145" s="1"/>
      <c r="E145" s="2"/>
      <c r="F145" s="3"/>
      <c r="G145" s="4"/>
      <c r="H145" s="5"/>
      <c r="I145" s="6"/>
      <c r="J145" s="6"/>
      <c r="K145" s="7"/>
      <c r="L145" s="5"/>
      <c r="M145" s="7"/>
      <c r="N145" s="7"/>
      <c r="O145" s="7"/>
      <c r="P145" s="5"/>
      <c r="Q145" s="7"/>
      <c r="R145" s="7"/>
      <c r="S145" s="7"/>
      <c r="T145" s="7"/>
      <c r="U145" s="7"/>
      <c r="V145" s="7"/>
      <c r="W145" s="7"/>
      <c r="X145" s="7"/>
      <c r="Y145" s="7"/>
      <c r="Z145" s="7"/>
      <c r="AA145" s="7"/>
      <c r="AB145" s="7"/>
      <c r="AC145" s="7"/>
      <c r="AD145" s="7"/>
      <c r="AE145" s="7"/>
      <c r="AF145" s="7"/>
      <c r="AG145" s="7"/>
      <c r="AH145" s="1"/>
      <c r="AI145" s="1"/>
      <c r="AJ145" s="1"/>
    </row>
    <row r="146" spans="3:36" ht="14.25" customHeight="1" x14ac:dyDescent="0.4">
      <c r="C146" s="1"/>
      <c r="E146" s="2"/>
      <c r="F146" s="3"/>
      <c r="G146" s="4"/>
      <c r="H146" s="5"/>
      <c r="I146" s="6"/>
      <c r="J146" s="6"/>
      <c r="K146" s="7"/>
      <c r="L146" s="5"/>
      <c r="M146" s="7"/>
      <c r="N146" s="7"/>
      <c r="O146" s="7"/>
      <c r="P146" s="5"/>
      <c r="Q146" s="7"/>
      <c r="R146" s="7"/>
      <c r="S146" s="7"/>
      <c r="T146" s="7"/>
      <c r="U146" s="7"/>
      <c r="V146" s="7"/>
      <c r="W146" s="7"/>
      <c r="X146" s="7"/>
      <c r="Y146" s="7"/>
      <c r="Z146" s="7"/>
      <c r="AA146" s="7"/>
      <c r="AB146" s="7"/>
      <c r="AC146" s="7"/>
      <c r="AD146" s="7"/>
      <c r="AE146" s="7"/>
      <c r="AF146" s="7"/>
      <c r="AG146" s="7"/>
      <c r="AH146" s="1"/>
      <c r="AI146" s="1"/>
      <c r="AJ146" s="1"/>
    </row>
    <row r="147" spans="3:36" ht="14.25" customHeight="1" x14ac:dyDescent="0.4">
      <c r="C147" s="1"/>
      <c r="E147" s="2"/>
      <c r="F147" s="3"/>
      <c r="G147" s="4"/>
      <c r="H147" s="5"/>
      <c r="I147" s="6"/>
      <c r="J147" s="6"/>
      <c r="K147" s="7"/>
      <c r="L147" s="5"/>
      <c r="M147" s="7"/>
      <c r="N147" s="7"/>
      <c r="O147" s="7"/>
      <c r="P147" s="5"/>
      <c r="Q147" s="7"/>
      <c r="R147" s="7"/>
      <c r="S147" s="7"/>
      <c r="T147" s="7"/>
      <c r="U147" s="7"/>
      <c r="V147" s="7"/>
      <c r="W147" s="7"/>
      <c r="X147" s="7"/>
      <c r="Y147" s="7"/>
      <c r="Z147" s="7"/>
      <c r="AA147" s="7"/>
      <c r="AB147" s="7"/>
      <c r="AC147" s="7"/>
      <c r="AD147" s="7"/>
      <c r="AE147" s="7"/>
      <c r="AF147" s="7"/>
      <c r="AG147" s="7"/>
      <c r="AH147" s="1"/>
      <c r="AI147" s="1"/>
      <c r="AJ147" s="1"/>
    </row>
    <row r="148" spans="3:36" ht="14.25" customHeight="1" x14ac:dyDescent="0.4">
      <c r="C148" s="1"/>
      <c r="E148" s="2"/>
      <c r="F148" s="3"/>
      <c r="G148" s="4"/>
      <c r="H148" s="5"/>
      <c r="I148" s="6"/>
      <c r="J148" s="6"/>
      <c r="K148" s="7"/>
      <c r="L148" s="5"/>
      <c r="M148" s="7"/>
      <c r="N148" s="7"/>
      <c r="O148" s="7"/>
      <c r="P148" s="5"/>
      <c r="Q148" s="7"/>
      <c r="R148" s="7"/>
      <c r="S148" s="7"/>
      <c r="T148" s="7"/>
      <c r="U148" s="7"/>
      <c r="V148" s="7"/>
      <c r="W148" s="7"/>
      <c r="X148" s="7"/>
      <c r="Y148" s="7"/>
      <c r="Z148" s="7"/>
      <c r="AA148" s="7"/>
      <c r="AB148" s="7"/>
      <c r="AC148" s="7"/>
      <c r="AD148" s="7"/>
      <c r="AE148" s="7"/>
      <c r="AF148" s="7"/>
      <c r="AG148" s="7"/>
      <c r="AH148" s="1"/>
      <c r="AI148" s="1"/>
      <c r="AJ148" s="1"/>
    </row>
    <row r="149" spans="3:36" ht="14.25" customHeight="1" x14ac:dyDescent="0.4">
      <c r="C149" s="1"/>
      <c r="E149" s="2"/>
      <c r="F149" s="3"/>
      <c r="G149" s="4"/>
      <c r="H149" s="5"/>
      <c r="I149" s="6"/>
      <c r="J149" s="6"/>
      <c r="K149" s="7"/>
      <c r="L149" s="5"/>
      <c r="M149" s="7"/>
      <c r="N149" s="7"/>
      <c r="O149" s="7"/>
      <c r="P149" s="5"/>
      <c r="Q149" s="7"/>
      <c r="R149" s="7"/>
      <c r="S149" s="7"/>
      <c r="T149" s="7"/>
      <c r="U149" s="7"/>
      <c r="V149" s="7"/>
      <c r="W149" s="7"/>
      <c r="X149" s="7"/>
      <c r="Y149" s="7"/>
      <c r="Z149" s="7"/>
      <c r="AA149" s="7"/>
      <c r="AB149" s="7"/>
      <c r="AC149" s="7"/>
      <c r="AD149" s="7"/>
      <c r="AE149" s="7"/>
      <c r="AF149" s="7"/>
      <c r="AG149" s="7"/>
      <c r="AH149" s="1"/>
      <c r="AI149" s="1"/>
      <c r="AJ149" s="1"/>
    </row>
    <row r="150" spans="3:36" ht="14.25" customHeight="1" x14ac:dyDescent="0.4">
      <c r="C150" s="1"/>
      <c r="E150" s="2"/>
      <c r="F150" s="3"/>
      <c r="G150" s="4"/>
      <c r="H150" s="5"/>
      <c r="I150" s="6"/>
      <c r="J150" s="6"/>
      <c r="K150" s="7"/>
      <c r="L150" s="5"/>
      <c r="M150" s="7"/>
      <c r="N150" s="7"/>
      <c r="O150" s="7"/>
      <c r="P150" s="5"/>
      <c r="Q150" s="7"/>
      <c r="R150" s="7"/>
      <c r="S150" s="7"/>
      <c r="T150" s="7"/>
      <c r="U150" s="7"/>
      <c r="V150" s="7"/>
      <c r="W150" s="7"/>
      <c r="X150" s="7"/>
      <c r="Y150" s="7"/>
      <c r="Z150" s="7"/>
      <c r="AA150" s="7"/>
      <c r="AB150" s="7"/>
      <c r="AC150" s="7"/>
      <c r="AD150" s="7"/>
      <c r="AE150" s="7"/>
      <c r="AF150" s="7"/>
      <c r="AG150" s="7"/>
      <c r="AH150" s="1"/>
      <c r="AI150" s="1"/>
      <c r="AJ150" s="1"/>
    </row>
    <row r="151" spans="3:36" ht="14.25" customHeight="1" x14ac:dyDescent="0.4">
      <c r="C151" s="1"/>
      <c r="E151" s="2"/>
      <c r="F151" s="3"/>
      <c r="G151" s="4"/>
      <c r="H151" s="5"/>
      <c r="I151" s="6"/>
      <c r="J151" s="6"/>
      <c r="K151" s="7"/>
      <c r="L151" s="5"/>
      <c r="M151" s="7"/>
      <c r="N151" s="7"/>
      <c r="O151" s="7"/>
      <c r="P151" s="5"/>
      <c r="Q151" s="7"/>
      <c r="R151" s="7"/>
      <c r="S151" s="7"/>
      <c r="T151" s="7"/>
      <c r="U151" s="7"/>
      <c r="V151" s="7"/>
      <c r="W151" s="7"/>
      <c r="X151" s="7"/>
      <c r="Y151" s="7"/>
      <c r="Z151" s="7"/>
      <c r="AA151" s="7"/>
      <c r="AB151" s="7"/>
      <c r="AC151" s="7"/>
      <c r="AD151" s="7"/>
      <c r="AE151" s="7"/>
      <c r="AF151" s="7"/>
      <c r="AG151" s="7"/>
      <c r="AH151" s="1"/>
      <c r="AI151" s="1"/>
      <c r="AJ151" s="1"/>
    </row>
    <row r="152" spans="3:36" ht="14.25" customHeight="1" x14ac:dyDescent="0.4">
      <c r="C152" s="1"/>
      <c r="E152" s="2"/>
      <c r="F152" s="3"/>
      <c r="G152" s="4"/>
      <c r="H152" s="5"/>
      <c r="I152" s="6"/>
      <c r="J152" s="6"/>
      <c r="K152" s="7"/>
      <c r="L152" s="5"/>
      <c r="M152" s="7"/>
      <c r="N152" s="7"/>
      <c r="O152" s="7"/>
      <c r="P152" s="5"/>
      <c r="Q152" s="7"/>
      <c r="R152" s="7"/>
      <c r="S152" s="7"/>
      <c r="T152" s="7"/>
      <c r="U152" s="7"/>
      <c r="V152" s="7"/>
      <c r="W152" s="7"/>
      <c r="X152" s="7"/>
      <c r="Y152" s="7"/>
      <c r="Z152" s="7"/>
      <c r="AA152" s="7"/>
      <c r="AB152" s="7"/>
      <c r="AC152" s="7"/>
      <c r="AD152" s="7"/>
      <c r="AE152" s="7"/>
      <c r="AF152" s="7"/>
      <c r="AG152" s="7"/>
      <c r="AH152" s="1"/>
      <c r="AI152" s="1"/>
      <c r="AJ152" s="1"/>
    </row>
    <row r="153" spans="3:36" ht="14.25" customHeight="1" x14ac:dyDescent="0.4">
      <c r="C153" s="1"/>
      <c r="E153" s="2"/>
      <c r="F153" s="3"/>
      <c r="G153" s="4"/>
      <c r="H153" s="5"/>
      <c r="I153" s="6"/>
      <c r="J153" s="6"/>
      <c r="K153" s="7"/>
      <c r="L153" s="5"/>
      <c r="M153" s="7"/>
      <c r="N153" s="7"/>
      <c r="O153" s="7"/>
      <c r="P153" s="5"/>
      <c r="Q153" s="7"/>
      <c r="R153" s="7"/>
      <c r="S153" s="7"/>
      <c r="T153" s="7"/>
      <c r="U153" s="7"/>
      <c r="V153" s="7"/>
      <c r="W153" s="7"/>
      <c r="X153" s="7"/>
      <c r="Y153" s="7"/>
      <c r="Z153" s="7"/>
      <c r="AA153" s="7"/>
      <c r="AB153" s="7"/>
      <c r="AC153" s="7"/>
      <c r="AD153" s="7"/>
      <c r="AE153" s="7"/>
      <c r="AF153" s="7"/>
      <c r="AG153" s="7"/>
      <c r="AH153" s="1"/>
      <c r="AI153" s="1"/>
      <c r="AJ153" s="1"/>
    </row>
    <row r="154" spans="3:36" ht="14.25" customHeight="1" x14ac:dyDescent="0.4">
      <c r="C154" s="1"/>
      <c r="E154" s="2"/>
      <c r="F154" s="3"/>
      <c r="G154" s="4"/>
      <c r="H154" s="5"/>
      <c r="I154" s="6"/>
      <c r="J154" s="6"/>
      <c r="K154" s="7"/>
      <c r="L154" s="5"/>
      <c r="M154" s="7"/>
      <c r="N154" s="7"/>
      <c r="O154" s="7"/>
      <c r="P154" s="5"/>
      <c r="Q154" s="7"/>
      <c r="R154" s="7"/>
      <c r="S154" s="7"/>
      <c r="T154" s="7"/>
      <c r="U154" s="7"/>
      <c r="V154" s="7"/>
      <c r="W154" s="7"/>
      <c r="X154" s="7"/>
      <c r="Y154" s="7"/>
      <c r="Z154" s="7"/>
      <c r="AA154" s="7"/>
      <c r="AB154" s="7"/>
      <c r="AC154" s="7"/>
      <c r="AD154" s="7"/>
      <c r="AE154" s="7"/>
      <c r="AF154" s="7"/>
      <c r="AG154" s="7"/>
      <c r="AH154" s="1"/>
      <c r="AI154" s="1"/>
      <c r="AJ154" s="1"/>
    </row>
    <row r="155" spans="3:36" ht="14.25" customHeight="1" x14ac:dyDescent="0.4">
      <c r="C155" s="1"/>
      <c r="E155" s="2"/>
      <c r="F155" s="3"/>
      <c r="G155" s="4"/>
      <c r="H155" s="5"/>
      <c r="I155" s="6"/>
      <c r="J155" s="6"/>
      <c r="K155" s="7"/>
      <c r="L155" s="5"/>
      <c r="M155" s="7"/>
      <c r="N155" s="7"/>
      <c r="O155" s="7"/>
      <c r="P155" s="5"/>
      <c r="Q155" s="7"/>
      <c r="R155" s="7"/>
      <c r="S155" s="7"/>
      <c r="T155" s="7"/>
      <c r="U155" s="7"/>
      <c r="V155" s="7"/>
      <c r="W155" s="7"/>
      <c r="X155" s="7"/>
      <c r="Y155" s="7"/>
      <c r="Z155" s="7"/>
      <c r="AA155" s="7"/>
      <c r="AB155" s="7"/>
      <c r="AC155" s="7"/>
      <c r="AD155" s="7"/>
      <c r="AE155" s="7"/>
      <c r="AF155" s="7"/>
      <c r="AG155" s="7"/>
      <c r="AH155" s="1"/>
      <c r="AI155" s="1"/>
      <c r="AJ155" s="1"/>
    </row>
    <row r="156" spans="3:36" ht="14.25" customHeight="1" x14ac:dyDescent="0.4">
      <c r="C156" s="1"/>
      <c r="E156" s="2"/>
      <c r="F156" s="3"/>
      <c r="G156" s="4"/>
      <c r="H156" s="5"/>
      <c r="I156" s="6"/>
      <c r="J156" s="6"/>
      <c r="K156" s="7"/>
      <c r="L156" s="5"/>
      <c r="M156" s="7"/>
      <c r="N156" s="7"/>
      <c r="O156" s="7"/>
      <c r="P156" s="5"/>
      <c r="Q156" s="7"/>
      <c r="R156" s="7"/>
      <c r="S156" s="7"/>
      <c r="T156" s="7"/>
      <c r="U156" s="7"/>
      <c r="V156" s="7"/>
      <c r="W156" s="7"/>
      <c r="X156" s="7"/>
      <c r="Y156" s="7"/>
      <c r="Z156" s="7"/>
      <c r="AA156" s="7"/>
      <c r="AB156" s="7"/>
      <c r="AC156" s="7"/>
      <c r="AD156" s="7"/>
      <c r="AE156" s="7"/>
      <c r="AF156" s="7"/>
      <c r="AG156" s="7"/>
      <c r="AH156" s="1"/>
      <c r="AI156" s="1"/>
      <c r="AJ156" s="1"/>
    </row>
    <row r="157" spans="3:36" ht="14.25" customHeight="1" x14ac:dyDescent="0.4">
      <c r="C157" s="1"/>
      <c r="E157" s="2"/>
      <c r="F157" s="3"/>
      <c r="G157" s="4"/>
      <c r="H157" s="5"/>
      <c r="I157" s="6"/>
      <c r="J157" s="6"/>
      <c r="K157" s="7"/>
      <c r="L157" s="5"/>
      <c r="M157" s="7"/>
      <c r="N157" s="7"/>
      <c r="O157" s="7"/>
      <c r="P157" s="5"/>
      <c r="Q157" s="7"/>
      <c r="R157" s="7"/>
      <c r="S157" s="7"/>
      <c r="T157" s="7"/>
      <c r="U157" s="7"/>
      <c r="V157" s="7"/>
      <c r="W157" s="7"/>
      <c r="X157" s="7"/>
      <c r="Y157" s="7"/>
      <c r="Z157" s="7"/>
      <c r="AA157" s="7"/>
      <c r="AB157" s="7"/>
      <c r="AC157" s="7"/>
      <c r="AD157" s="7"/>
      <c r="AE157" s="7"/>
      <c r="AF157" s="7"/>
      <c r="AG157" s="7"/>
      <c r="AH157" s="1"/>
      <c r="AI157" s="1"/>
      <c r="AJ157" s="1"/>
    </row>
    <row r="158" spans="3:36" ht="14.25" customHeight="1" x14ac:dyDescent="0.4">
      <c r="C158" s="1"/>
      <c r="E158" s="2"/>
      <c r="F158" s="3"/>
      <c r="G158" s="4"/>
      <c r="H158" s="5"/>
      <c r="I158" s="6"/>
      <c r="J158" s="6"/>
      <c r="K158" s="7"/>
      <c r="L158" s="5"/>
      <c r="M158" s="7"/>
      <c r="N158" s="7"/>
      <c r="O158" s="7"/>
      <c r="P158" s="5"/>
      <c r="Q158" s="7"/>
      <c r="R158" s="7"/>
      <c r="S158" s="7"/>
      <c r="T158" s="7"/>
      <c r="U158" s="7"/>
      <c r="V158" s="7"/>
      <c r="W158" s="7"/>
      <c r="X158" s="7"/>
      <c r="Y158" s="7"/>
      <c r="Z158" s="7"/>
      <c r="AA158" s="7"/>
      <c r="AB158" s="7"/>
      <c r="AC158" s="7"/>
      <c r="AD158" s="7"/>
      <c r="AE158" s="7"/>
      <c r="AF158" s="7"/>
      <c r="AG158" s="7"/>
      <c r="AH158" s="1"/>
      <c r="AI158" s="1"/>
      <c r="AJ158" s="1"/>
    </row>
    <row r="159" spans="3:36" ht="14.25" customHeight="1" x14ac:dyDescent="0.4">
      <c r="C159" s="1"/>
      <c r="E159" s="2"/>
      <c r="F159" s="3"/>
      <c r="G159" s="4"/>
      <c r="H159" s="5"/>
      <c r="I159" s="6"/>
      <c r="J159" s="6"/>
      <c r="K159" s="7"/>
      <c r="L159" s="5"/>
      <c r="M159" s="7"/>
      <c r="N159" s="7"/>
      <c r="O159" s="7"/>
      <c r="P159" s="5"/>
      <c r="Q159" s="7"/>
      <c r="R159" s="7"/>
      <c r="S159" s="7"/>
      <c r="T159" s="7"/>
      <c r="U159" s="7"/>
      <c r="V159" s="7"/>
      <c r="W159" s="7"/>
      <c r="X159" s="7"/>
      <c r="Y159" s="7"/>
      <c r="Z159" s="7"/>
      <c r="AA159" s="7"/>
      <c r="AB159" s="7"/>
      <c r="AC159" s="7"/>
      <c r="AD159" s="7"/>
      <c r="AE159" s="7"/>
      <c r="AF159" s="7"/>
      <c r="AG159" s="7"/>
      <c r="AH159" s="1"/>
      <c r="AI159" s="1"/>
      <c r="AJ159" s="1"/>
    </row>
    <row r="160" spans="3:36" ht="14.25" customHeight="1" x14ac:dyDescent="0.4">
      <c r="C160" s="1"/>
      <c r="E160" s="2"/>
      <c r="F160" s="3"/>
      <c r="G160" s="4"/>
      <c r="H160" s="5"/>
      <c r="I160" s="6"/>
      <c r="J160" s="6"/>
      <c r="K160" s="7"/>
      <c r="L160" s="5"/>
      <c r="M160" s="7"/>
      <c r="N160" s="7"/>
      <c r="O160" s="7"/>
      <c r="P160" s="5"/>
      <c r="Q160" s="7"/>
      <c r="R160" s="7"/>
      <c r="S160" s="7"/>
      <c r="T160" s="7"/>
      <c r="U160" s="7"/>
      <c r="V160" s="7"/>
      <c r="W160" s="7"/>
      <c r="X160" s="7"/>
      <c r="Y160" s="7"/>
      <c r="Z160" s="7"/>
      <c r="AA160" s="7"/>
      <c r="AB160" s="7"/>
      <c r="AC160" s="7"/>
      <c r="AD160" s="7"/>
      <c r="AE160" s="7"/>
      <c r="AF160" s="7"/>
      <c r="AG160" s="7"/>
      <c r="AH160" s="1"/>
      <c r="AI160" s="1"/>
      <c r="AJ160" s="1"/>
    </row>
    <row r="161" spans="3:36" ht="14.25" customHeight="1" x14ac:dyDescent="0.4">
      <c r="C161" s="1"/>
      <c r="E161" s="2"/>
      <c r="F161" s="3"/>
      <c r="G161" s="4"/>
      <c r="H161" s="5"/>
      <c r="I161" s="6"/>
      <c r="J161" s="6"/>
      <c r="K161" s="7"/>
      <c r="L161" s="5"/>
      <c r="M161" s="7"/>
      <c r="N161" s="7"/>
      <c r="O161" s="7"/>
      <c r="P161" s="5"/>
      <c r="Q161" s="7"/>
      <c r="R161" s="7"/>
      <c r="S161" s="7"/>
      <c r="T161" s="7"/>
      <c r="U161" s="7"/>
      <c r="V161" s="7"/>
      <c r="W161" s="7"/>
      <c r="X161" s="7"/>
      <c r="Y161" s="7"/>
      <c r="Z161" s="7"/>
      <c r="AA161" s="7"/>
      <c r="AB161" s="7"/>
      <c r="AC161" s="7"/>
      <c r="AD161" s="7"/>
      <c r="AE161" s="7"/>
      <c r="AF161" s="7"/>
      <c r="AG161" s="7"/>
      <c r="AH161" s="1"/>
      <c r="AI161" s="1"/>
      <c r="AJ161" s="1"/>
    </row>
    <row r="162" spans="3:36" ht="14.25" customHeight="1" x14ac:dyDescent="0.4">
      <c r="C162" s="1"/>
      <c r="E162" s="2"/>
      <c r="F162" s="3"/>
      <c r="G162" s="4"/>
      <c r="H162" s="5"/>
      <c r="I162" s="6"/>
      <c r="J162" s="6"/>
      <c r="K162" s="7"/>
      <c r="L162" s="5"/>
      <c r="M162" s="7"/>
      <c r="N162" s="7"/>
      <c r="O162" s="7"/>
      <c r="P162" s="5"/>
      <c r="Q162" s="7"/>
      <c r="R162" s="7"/>
      <c r="S162" s="7"/>
      <c r="T162" s="7"/>
      <c r="U162" s="7"/>
      <c r="V162" s="7"/>
      <c r="W162" s="7"/>
      <c r="X162" s="7"/>
      <c r="Y162" s="7"/>
      <c r="Z162" s="7"/>
      <c r="AA162" s="7"/>
      <c r="AB162" s="7"/>
      <c r="AC162" s="7"/>
      <c r="AD162" s="7"/>
      <c r="AE162" s="7"/>
      <c r="AF162" s="7"/>
      <c r="AG162" s="7"/>
      <c r="AH162" s="1"/>
      <c r="AI162" s="1"/>
      <c r="AJ162" s="1"/>
    </row>
    <row r="163" spans="3:36" ht="14.25" customHeight="1" x14ac:dyDescent="0.4">
      <c r="C163" s="1"/>
      <c r="E163" s="2"/>
      <c r="F163" s="3"/>
      <c r="G163" s="4"/>
      <c r="H163" s="5"/>
      <c r="I163" s="6"/>
      <c r="J163" s="6"/>
      <c r="K163" s="7"/>
      <c r="L163" s="5"/>
      <c r="M163" s="7"/>
      <c r="N163" s="7"/>
      <c r="O163" s="7"/>
      <c r="P163" s="5"/>
      <c r="Q163" s="7"/>
      <c r="R163" s="7"/>
      <c r="S163" s="7"/>
      <c r="T163" s="7"/>
      <c r="U163" s="7"/>
      <c r="V163" s="7"/>
      <c r="W163" s="7"/>
      <c r="X163" s="7"/>
      <c r="Y163" s="7"/>
      <c r="Z163" s="7"/>
      <c r="AA163" s="7"/>
      <c r="AB163" s="7"/>
      <c r="AC163" s="7"/>
      <c r="AD163" s="7"/>
      <c r="AE163" s="7"/>
      <c r="AF163" s="7"/>
      <c r="AG163" s="7"/>
      <c r="AH163" s="1"/>
      <c r="AI163" s="1"/>
      <c r="AJ163" s="1"/>
    </row>
    <row r="164" spans="3:36" ht="14.25" customHeight="1" x14ac:dyDescent="0.4">
      <c r="C164" s="1"/>
      <c r="E164" s="2"/>
      <c r="F164" s="3"/>
      <c r="G164" s="4"/>
      <c r="H164" s="5"/>
      <c r="I164" s="6"/>
      <c r="J164" s="6"/>
      <c r="K164" s="7"/>
      <c r="L164" s="5"/>
      <c r="M164" s="7"/>
      <c r="N164" s="7"/>
      <c r="O164" s="7"/>
      <c r="P164" s="5"/>
      <c r="Q164" s="7"/>
      <c r="R164" s="7"/>
      <c r="S164" s="7"/>
      <c r="T164" s="7"/>
      <c r="U164" s="7"/>
      <c r="V164" s="7"/>
      <c r="W164" s="7"/>
      <c r="X164" s="7"/>
      <c r="Y164" s="7"/>
      <c r="Z164" s="7"/>
      <c r="AA164" s="7"/>
      <c r="AB164" s="7"/>
      <c r="AC164" s="7"/>
      <c r="AD164" s="7"/>
      <c r="AE164" s="7"/>
      <c r="AF164" s="7"/>
      <c r="AG164" s="7"/>
      <c r="AH164" s="1"/>
      <c r="AI164" s="1"/>
      <c r="AJ164" s="1"/>
    </row>
    <row r="165" spans="3:36" ht="14.25" customHeight="1" x14ac:dyDescent="0.4">
      <c r="C165" s="1"/>
      <c r="E165" s="2"/>
      <c r="F165" s="3"/>
      <c r="G165" s="4"/>
      <c r="H165" s="5"/>
      <c r="I165" s="6"/>
      <c r="J165" s="6"/>
      <c r="K165" s="7"/>
      <c r="L165" s="5"/>
      <c r="M165" s="7"/>
      <c r="N165" s="7"/>
      <c r="O165" s="7"/>
      <c r="P165" s="5"/>
      <c r="Q165" s="7"/>
      <c r="R165" s="7"/>
      <c r="S165" s="7"/>
      <c r="T165" s="7"/>
      <c r="U165" s="7"/>
      <c r="V165" s="7"/>
      <c r="W165" s="7"/>
      <c r="X165" s="7"/>
      <c r="Y165" s="7"/>
      <c r="Z165" s="7"/>
      <c r="AA165" s="7"/>
      <c r="AB165" s="7"/>
      <c r="AC165" s="7"/>
      <c r="AD165" s="7"/>
      <c r="AE165" s="7"/>
      <c r="AF165" s="7"/>
      <c r="AG165" s="7"/>
      <c r="AH165" s="1"/>
      <c r="AI165" s="1"/>
      <c r="AJ165" s="1"/>
    </row>
    <row r="166" spans="3:36" ht="14.25" customHeight="1" x14ac:dyDescent="0.4">
      <c r="C166" s="1"/>
      <c r="E166" s="2"/>
      <c r="F166" s="3"/>
      <c r="G166" s="4"/>
      <c r="H166" s="5"/>
      <c r="I166" s="6"/>
      <c r="J166" s="6"/>
      <c r="K166" s="7"/>
      <c r="L166" s="5"/>
      <c r="M166" s="7"/>
      <c r="N166" s="7"/>
      <c r="O166" s="7"/>
      <c r="P166" s="5"/>
      <c r="Q166" s="7"/>
      <c r="R166" s="7"/>
      <c r="S166" s="7"/>
      <c r="T166" s="7"/>
      <c r="U166" s="7"/>
      <c r="V166" s="7"/>
      <c r="W166" s="7"/>
      <c r="X166" s="7"/>
      <c r="Y166" s="7"/>
      <c r="Z166" s="7"/>
      <c r="AA166" s="7"/>
      <c r="AB166" s="7"/>
      <c r="AC166" s="7"/>
      <c r="AD166" s="7"/>
      <c r="AE166" s="7"/>
      <c r="AF166" s="7"/>
      <c r="AG166" s="7"/>
      <c r="AH166" s="1"/>
      <c r="AI166" s="1"/>
      <c r="AJ166" s="1"/>
    </row>
    <row r="167" spans="3:36" ht="14.25" customHeight="1" x14ac:dyDescent="0.4">
      <c r="C167" s="1"/>
      <c r="E167" s="2"/>
      <c r="F167" s="3"/>
      <c r="G167" s="4"/>
      <c r="H167" s="5"/>
      <c r="I167" s="6"/>
      <c r="J167" s="6"/>
      <c r="K167" s="7"/>
      <c r="L167" s="5"/>
      <c r="M167" s="7"/>
      <c r="N167" s="7"/>
      <c r="O167" s="7"/>
      <c r="P167" s="5"/>
      <c r="Q167" s="7"/>
      <c r="R167" s="7"/>
      <c r="S167" s="7"/>
      <c r="T167" s="7"/>
      <c r="U167" s="7"/>
      <c r="V167" s="7"/>
      <c r="W167" s="7"/>
      <c r="X167" s="7"/>
      <c r="Y167" s="7"/>
      <c r="Z167" s="7"/>
      <c r="AA167" s="7"/>
      <c r="AB167" s="7"/>
      <c r="AC167" s="7"/>
      <c r="AD167" s="7"/>
      <c r="AE167" s="7"/>
      <c r="AF167" s="7"/>
      <c r="AG167" s="7"/>
      <c r="AH167" s="1"/>
      <c r="AI167" s="1"/>
      <c r="AJ167" s="1"/>
    </row>
    <row r="168" spans="3:36" ht="14.25" customHeight="1" x14ac:dyDescent="0.4">
      <c r="C168" s="1"/>
      <c r="E168" s="2"/>
      <c r="F168" s="3"/>
      <c r="G168" s="4"/>
      <c r="H168" s="5"/>
      <c r="I168" s="6"/>
      <c r="J168" s="6"/>
      <c r="K168" s="7"/>
      <c r="L168" s="5"/>
      <c r="M168" s="7"/>
      <c r="N168" s="7"/>
      <c r="O168" s="7"/>
      <c r="P168" s="5"/>
      <c r="Q168" s="7"/>
      <c r="R168" s="7"/>
      <c r="S168" s="7"/>
      <c r="T168" s="7"/>
      <c r="U168" s="7"/>
      <c r="V168" s="7"/>
      <c r="W168" s="7"/>
      <c r="X168" s="7"/>
      <c r="Y168" s="7"/>
      <c r="Z168" s="7"/>
      <c r="AA168" s="7"/>
      <c r="AB168" s="7"/>
      <c r="AC168" s="7"/>
      <c r="AD168" s="7"/>
      <c r="AE168" s="7"/>
      <c r="AF168" s="7"/>
      <c r="AG168" s="7"/>
      <c r="AH168" s="1"/>
      <c r="AI168" s="1"/>
      <c r="AJ168" s="1"/>
    </row>
    <row r="169" spans="3:36" ht="14.25" customHeight="1" x14ac:dyDescent="0.4">
      <c r="C169" s="1"/>
      <c r="E169" s="2"/>
      <c r="F169" s="3"/>
      <c r="G169" s="4"/>
      <c r="H169" s="5"/>
      <c r="I169" s="6"/>
      <c r="J169" s="6"/>
      <c r="K169" s="7"/>
      <c r="L169" s="5"/>
      <c r="M169" s="7"/>
      <c r="N169" s="7"/>
      <c r="O169" s="7"/>
      <c r="P169" s="5"/>
      <c r="Q169" s="7"/>
      <c r="R169" s="7"/>
      <c r="S169" s="7"/>
      <c r="T169" s="7"/>
      <c r="U169" s="7"/>
      <c r="V169" s="7"/>
      <c r="W169" s="7"/>
      <c r="X169" s="7"/>
      <c r="Y169" s="7"/>
      <c r="Z169" s="7"/>
      <c r="AA169" s="7"/>
      <c r="AB169" s="7"/>
      <c r="AC169" s="7"/>
      <c r="AD169" s="7"/>
      <c r="AE169" s="7"/>
      <c r="AF169" s="7"/>
      <c r="AG169" s="7"/>
      <c r="AH169" s="1"/>
      <c r="AI169" s="1"/>
      <c r="AJ169" s="1"/>
    </row>
    <row r="170" spans="3:36" ht="14.25" customHeight="1" x14ac:dyDescent="0.4">
      <c r="C170" s="1"/>
      <c r="E170" s="2"/>
      <c r="F170" s="3"/>
      <c r="G170" s="4"/>
      <c r="H170" s="5"/>
      <c r="I170" s="6"/>
      <c r="J170" s="6"/>
      <c r="K170" s="7"/>
      <c r="L170" s="5"/>
      <c r="M170" s="7"/>
      <c r="N170" s="7"/>
      <c r="O170" s="7"/>
      <c r="P170" s="5"/>
      <c r="Q170" s="7"/>
      <c r="R170" s="7"/>
      <c r="S170" s="7"/>
      <c r="T170" s="7"/>
      <c r="U170" s="7"/>
      <c r="V170" s="7"/>
      <c r="W170" s="7"/>
      <c r="X170" s="7"/>
      <c r="Y170" s="7"/>
      <c r="Z170" s="7"/>
      <c r="AA170" s="7"/>
      <c r="AB170" s="7"/>
      <c r="AC170" s="7"/>
      <c r="AD170" s="7"/>
      <c r="AE170" s="7"/>
      <c r="AF170" s="7"/>
      <c r="AG170" s="7"/>
      <c r="AH170" s="1"/>
      <c r="AI170" s="1"/>
      <c r="AJ170" s="1"/>
    </row>
    <row r="171" spans="3:36" ht="14.25" customHeight="1" x14ac:dyDescent="0.4">
      <c r="C171" s="1"/>
      <c r="E171" s="2"/>
      <c r="F171" s="3"/>
      <c r="G171" s="4"/>
      <c r="H171" s="5"/>
      <c r="I171" s="6"/>
      <c r="J171" s="6"/>
      <c r="K171" s="7"/>
      <c r="L171" s="5"/>
      <c r="M171" s="7"/>
      <c r="N171" s="7"/>
      <c r="O171" s="7"/>
      <c r="P171" s="5"/>
      <c r="Q171" s="7"/>
      <c r="R171" s="7"/>
      <c r="S171" s="7"/>
      <c r="T171" s="7"/>
      <c r="U171" s="7"/>
      <c r="V171" s="7"/>
      <c r="W171" s="7"/>
      <c r="X171" s="7"/>
      <c r="Y171" s="7"/>
      <c r="Z171" s="7"/>
      <c r="AA171" s="7"/>
      <c r="AB171" s="7"/>
      <c r="AC171" s="7"/>
      <c r="AD171" s="7"/>
      <c r="AE171" s="7"/>
      <c r="AF171" s="7"/>
      <c r="AG171" s="7"/>
      <c r="AH171" s="1"/>
      <c r="AI171" s="1"/>
      <c r="AJ171" s="1"/>
    </row>
    <row r="172" spans="3:36" ht="14.25" customHeight="1" x14ac:dyDescent="0.4">
      <c r="C172" s="1"/>
      <c r="E172" s="2"/>
      <c r="F172" s="3"/>
      <c r="G172" s="4"/>
      <c r="H172" s="5"/>
      <c r="I172" s="6"/>
      <c r="J172" s="6"/>
      <c r="K172" s="7"/>
      <c r="L172" s="5"/>
      <c r="M172" s="7"/>
      <c r="N172" s="7"/>
      <c r="O172" s="7"/>
      <c r="P172" s="5"/>
      <c r="Q172" s="7"/>
      <c r="R172" s="7"/>
      <c r="S172" s="7"/>
      <c r="T172" s="7"/>
      <c r="U172" s="7"/>
      <c r="V172" s="7"/>
      <c r="W172" s="7"/>
      <c r="X172" s="7"/>
      <c r="Y172" s="7"/>
      <c r="Z172" s="7"/>
      <c r="AA172" s="7"/>
      <c r="AB172" s="7"/>
      <c r="AC172" s="7"/>
      <c r="AD172" s="7"/>
      <c r="AE172" s="7"/>
      <c r="AF172" s="7"/>
      <c r="AG172" s="7"/>
      <c r="AH172" s="1"/>
      <c r="AI172" s="1"/>
      <c r="AJ172" s="1"/>
    </row>
    <row r="173" spans="3:36" ht="14.25" customHeight="1" x14ac:dyDescent="0.4">
      <c r="C173" s="1"/>
      <c r="E173" s="2"/>
      <c r="F173" s="3"/>
      <c r="G173" s="4"/>
      <c r="H173" s="5"/>
      <c r="I173" s="6"/>
      <c r="J173" s="6"/>
      <c r="K173" s="7"/>
      <c r="L173" s="5"/>
      <c r="M173" s="7"/>
      <c r="N173" s="7"/>
      <c r="O173" s="7"/>
      <c r="P173" s="5"/>
      <c r="Q173" s="7"/>
      <c r="R173" s="7"/>
      <c r="S173" s="7"/>
      <c r="T173" s="7"/>
      <c r="U173" s="7"/>
      <c r="V173" s="7"/>
      <c r="W173" s="7"/>
      <c r="X173" s="7"/>
      <c r="Y173" s="7"/>
      <c r="Z173" s="7"/>
      <c r="AA173" s="7"/>
      <c r="AB173" s="7"/>
      <c r="AC173" s="7"/>
      <c r="AD173" s="7"/>
      <c r="AE173" s="7"/>
      <c r="AF173" s="7"/>
      <c r="AG173" s="7"/>
      <c r="AH173" s="1"/>
      <c r="AI173" s="1"/>
      <c r="AJ173" s="1"/>
    </row>
    <row r="174" spans="3:36" ht="14.25" customHeight="1" x14ac:dyDescent="0.4">
      <c r="C174" s="1"/>
      <c r="E174" s="2"/>
      <c r="F174" s="3"/>
      <c r="G174" s="4"/>
      <c r="H174" s="5"/>
      <c r="I174" s="6"/>
      <c r="J174" s="6"/>
      <c r="K174" s="7"/>
      <c r="L174" s="5"/>
      <c r="M174" s="7"/>
      <c r="N174" s="7"/>
      <c r="O174" s="7"/>
      <c r="P174" s="5"/>
      <c r="Q174" s="7"/>
      <c r="R174" s="7"/>
      <c r="S174" s="7"/>
      <c r="T174" s="7"/>
      <c r="U174" s="7"/>
      <c r="V174" s="7"/>
      <c r="W174" s="7"/>
      <c r="X174" s="7"/>
      <c r="Y174" s="7"/>
      <c r="Z174" s="7"/>
      <c r="AA174" s="7"/>
      <c r="AB174" s="7"/>
      <c r="AC174" s="7"/>
      <c r="AD174" s="7"/>
      <c r="AE174" s="7"/>
      <c r="AF174" s="7"/>
      <c r="AG174" s="7"/>
      <c r="AH174" s="1"/>
      <c r="AI174" s="1"/>
      <c r="AJ174" s="1"/>
    </row>
    <row r="175" spans="3:36" ht="14.25" customHeight="1" x14ac:dyDescent="0.4">
      <c r="C175" s="1"/>
      <c r="E175" s="2"/>
      <c r="F175" s="3"/>
      <c r="G175" s="4"/>
      <c r="H175" s="5"/>
      <c r="I175" s="6"/>
      <c r="J175" s="6"/>
      <c r="K175" s="7"/>
      <c r="L175" s="5"/>
      <c r="M175" s="7"/>
      <c r="N175" s="7"/>
      <c r="O175" s="7"/>
      <c r="P175" s="5"/>
      <c r="Q175" s="7"/>
      <c r="R175" s="7"/>
      <c r="S175" s="7"/>
      <c r="T175" s="7"/>
      <c r="U175" s="7"/>
      <c r="V175" s="7"/>
      <c r="W175" s="7"/>
      <c r="X175" s="7"/>
      <c r="Y175" s="7"/>
      <c r="Z175" s="7"/>
      <c r="AA175" s="7"/>
      <c r="AB175" s="7"/>
      <c r="AC175" s="7"/>
      <c r="AD175" s="7"/>
      <c r="AE175" s="7"/>
      <c r="AF175" s="7"/>
      <c r="AG175" s="7"/>
      <c r="AH175" s="1"/>
      <c r="AI175" s="1"/>
      <c r="AJ175" s="1"/>
    </row>
    <row r="176" spans="3:36" ht="14.25" customHeight="1" x14ac:dyDescent="0.4">
      <c r="C176" s="1"/>
      <c r="E176" s="2"/>
      <c r="F176" s="3"/>
      <c r="G176" s="4"/>
      <c r="H176" s="5"/>
      <c r="I176" s="6"/>
      <c r="J176" s="6"/>
      <c r="K176" s="7"/>
      <c r="L176" s="5"/>
      <c r="M176" s="7"/>
      <c r="N176" s="7"/>
      <c r="O176" s="7"/>
      <c r="P176" s="5"/>
      <c r="Q176" s="7"/>
      <c r="R176" s="7"/>
      <c r="S176" s="7"/>
      <c r="T176" s="7"/>
      <c r="U176" s="7"/>
      <c r="V176" s="7"/>
      <c r="W176" s="7"/>
      <c r="X176" s="7"/>
      <c r="Y176" s="7"/>
      <c r="Z176" s="7"/>
      <c r="AA176" s="7"/>
      <c r="AB176" s="7"/>
      <c r="AC176" s="7"/>
      <c r="AD176" s="7"/>
      <c r="AE176" s="7"/>
      <c r="AF176" s="7"/>
      <c r="AG176" s="7"/>
      <c r="AH176" s="1"/>
      <c r="AI176" s="1"/>
      <c r="AJ176" s="1"/>
    </row>
    <row r="177" spans="3:36" ht="14.25" customHeight="1" x14ac:dyDescent="0.4">
      <c r="C177" s="1"/>
      <c r="E177" s="2"/>
      <c r="F177" s="3"/>
      <c r="G177" s="4"/>
      <c r="H177" s="5"/>
      <c r="I177" s="6"/>
      <c r="J177" s="6"/>
      <c r="K177" s="7"/>
      <c r="L177" s="5"/>
      <c r="M177" s="7"/>
      <c r="N177" s="7"/>
      <c r="O177" s="7"/>
      <c r="P177" s="5"/>
      <c r="Q177" s="7"/>
      <c r="R177" s="7"/>
      <c r="S177" s="7"/>
      <c r="T177" s="7"/>
      <c r="U177" s="7"/>
      <c r="V177" s="7"/>
      <c r="W177" s="7"/>
      <c r="X177" s="7"/>
      <c r="Y177" s="7"/>
      <c r="Z177" s="7"/>
      <c r="AA177" s="7"/>
      <c r="AB177" s="7"/>
      <c r="AC177" s="7"/>
      <c r="AD177" s="7"/>
      <c r="AE177" s="7"/>
      <c r="AF177" s="7"/>
      <c r="AG177" s="7"/>
      <c r="AH177" s="1"/>
      <c r="AI177" s="1"/>
      <c r="AJ177" s="1"/>
    </row>
    <row r="178" spans="3:36" ht="14.25" customHeight="1" x14ac:dyDescent="0.4">
      <c r="C178" s="1"/>
      <c r="E178" s="2"/>
      <c r="F178" s="3"/>
      <c r="G178" s="4"/>
      <c r="H178" s="5"/>
      <c r="I178" s="6"/>
      <c r="J178" s="6"/>
      <c r="K178" s="7"/>
      <c r="L178" s="5"/>
      <c r="M178" s="7"/>
      <c r="N178" s="7"/>
      <c r="O178" s="7"/>
      <c r="P178" s="5"/>
      <c r="Q178" s="7"/>
      <c r="R178" s="7"/>
      <c r="S178" s="7"/>
      <c r="T178" s="7"/>
      <c r="U178" s="7"/>
      <c r="V178" s="7"/>
      <c r="W178" s="7"/>
      <c r="X178" s="7"/>
      <c r="Y178" s="7"/>
      <c r="Z178" s="7"/>
      <c r="AA178" s="7"/>
      <c r="AB178" s="7"/>
      <c r="AC178" s="7"/>
      <c r="AD178" s="7"/>
      <c r="AE178" s="7"/>
      <c r="AF178" s="7"/>
      <c r="AG178" s="7"/>
      <c r="AH178" s="1"/>
      <c r="AI178" s="1"/>
      <c r="AJ178" s="1"/>
    </row>
    <row r="179" spans="3:36" ht="14.25" customHeight="1" x14ac:dyDescent="0.4">
      <c r="C179" s="1"/>
      <c r="E179" s="2"/>
      <c r="F179" s="3"/>
      <c r="G179" s="4"/>
      <c r="H179" s="5"/>
      <c r="I179" s="6"/>
      <c r="J179" s="6"/>
      <c r="K179" s="7"/>
      <c r="L179" s="5"/>
      <c r="M179" s="7"/>
      <c r="N179" s="7"/>
      <c r="O179" s="7"/>
      <c r="P179" s="5"/>
      <c r="Q179" s="7"/>
      <c r="R179" s="7"/>
      <c r="S179" s="7"/>
      <c r="T179" s="7"/>
      <c r="U179" s="7"/>
      <c r="V179" s="7"/>
      <c r="W179" s="7"/>
      <c r="X179" s="7"/>
      <c r="Y179" s="7"/>
      <c r="Z179" s="7"/>
      <c r="AA179" s="7"/>
      <c r="AB179" s="7"/>
      <c r="AC179" s="7"/>
      <c r="AD179" s="7"/>
      <c r="AE179" s="7"/>
      <c r="AF179" s="7"/>
      <c r="AG179" s="7"/>
      <c r="AH179" s="1"/>
      <c r="AI179" s="1"/>
      <c r="AJ179" s="1"/>
    </row>
    <row r="180" spans="3:36" ht="14.25" customHeight="1" x14ac:dyDescent="0.4">
      <c r="C180" s="1"/>
      <c r="E180" s="2"/>
      <c r="F180" s="3"/>
      <c r="G180" s="4"/>
      <c r="H180" s="5"/>
      <c r="I180" s="6"/>
      <c r="J180" s="6"/>
      <c r="K180" s="7"/>
      <c r="L180" s="5"/>
      <c r="M180" s="7"/>
      <c r="N180" s="7"/>
      <c r="O180" s="7"/>
      <c r="P180" s="5"/>
      <c r="Q180" s="7"/>
      <c r="R180" s="7"/>
      <c r="S180" s="7"/>
      <c r="T180" s="7"/>
      <c r="U180" s="7"/>
      <c r="V180" s="7"/>
      <c r="W180" s="7"/>
      <c r="X180" s="7"/>
      <c r="Y180" s="7"/>
      <c r="Z180" s="7"/>
      <c r="AA180" s="7"/>
      <c r="AB180" s="7"/>
      <c r="AC180" s="7"/>
      <c r="AD180" s="7"/>
      <c r="AE180" s="7"/>
      <c r="AF180" s="7"/>
      <c r="AG180" s="7"/>
      <c r="AH180" s="1"/>
      <c r="AI180" s="1"/>
      <c r="AJ180" s="1"/>
    </row>
    <row r="181" spans="3:36" ht="14.25" customHeight="1" x14ac:dyDescent="0.4">
      <c r="C181" s="1"/>
      <c r="E181" s="2"/>
      <c r="F181" s="3"/>
      <c r="G181" s="4"/>
      <c r="H181" s="5"/>
      <c r="I181" s="6"/>
      <c r="J181" s="6"/>
      <c r="K181" s="7"/>
      <c r="L181" s="5"/>
      <c r="M181" s="7"/>
      <c r="N181" s="7"/>
      <c r="O181" s="7"/>
      <c r="P181" s="5"/>
      <c r="Q181" s="7"/>
      <c r="R181" s="7"/>
      <c r="S181" s="7"/>
      <c r="T181" s="7"/>
      <c r="U181" s="7"/>
      <c r="V181" s="7"/>
      <c r="W181" s="7"/>
      <c r="X181" s="7"/>
      <c r="Y181" s="7"/>
      <c r="Z181" s="7"/>
      <c r="AA181" s="7"/>
      <c r="AB181" s="7"/>
      <c r="AC181" s="7"/>
      <c r="AD181" s="7"/>
      <c r="AE181" s="7"/>
      <c r="AF181" s="7"/>
      <c r="AG181" s="7"/>
      <c r="AH181" s="1"/>
      <c r="AI181" s="1"/>
      <c r="AJ181" s="1"/>
    </row>
    <row r="182" spans="3:36" ht="14.25" customHeight="1" x14ac:dyDescent="0.4">
      <c r="C182" s="1"/>
      <c r="E182" s="2"/>
      <c r="F182" s="3"/>
      <c r="G182" s="4"/>
      <c r="H182" s="5"/>
      <c r="I182" s="6"/>
      <c r="J182" s="6"/>
      <c r="K182" s="7"/>
      <c r="L182" s="5"/>
      <c r="M182" s="7"/>
      <c r="N182" s="7"/>
      <c r="O182" s="7"/>
      <c r="P182" s="5"/>
      <c r="Q182" s="7"/>
      <c r="R182" s="7"/>
      <c r="S182" s="7"/>
      <c r="T182" s="7"/>
      <c r="U182" s="7"/>
      <c r="V182" s="7"/>
      <c r="W182" s="7"/>
      <c r="X182" s="7"/>
      <c r="Y182" s="7"/>
      <c r="Z182" s="7"/>
      <c r="AA182" s="7"/>
      <c r="AB182" s="7"/>
      <c r="AC182" s="7"/>
      <c r="AD182" s="7"/>
      <c r="AE182" s="7"/>
      <c r="AF182" s="7"/>
      <c r="AG182" s="7"/>
      <c r="AH182" s="1"/>
      <c r="AI182" s="1"/>
      <c r="AJ182" s="1"/>
    </row>
    <row r="183" spans="3:36" ht="14.25" customHeight="1" x14ac:dyDescent="0.4">
      <c r="C183" s="1"/>
      <c r="E183" s="2"/>
      <c r="F183" s="3"/>
      <c r="G183" s="4"/>
      <c r="H183" s="5"/>
      <c r="I183" s="6"/>
      <c r="J183" s="6"/>
      <c r="K183" s="7"/>
      <c r="L183" s="5"/>
      <c r="M183" s="7"/>
      <c r="N183" s="7"/>
      <c r="O183" s="7"/>
      <c r="P183" s="5"/>
      <c r="Q183" s="7"/>
      <c r="R183" s="7"/>
      <c r="S183" s="7"/>
      <c r="T183" s="7"/>
      <c r="U183" s="7"/>
      <c r="V183" s="7"/>
      <c r="W183" s="7"/>
      <c r="X183" s="7"/>
      <c r="Y183" s="7"/>
      <c r="Z183" s="7"/>
      <c r="AA183" s="7"/>
      <c r="AB183" s="7"/>
      <c r="AC183" s="7"/>
      <c r="AD183" s="7"/>
      <c r="AE183" s="7"/>
      <c r="AF183" s="7"/>
      <c r="AG183" s="7"/>
      <c r="AH183" s="1"/>
      <c r="AI183" s="1"/>
      <c r="AJ183" s="1"/>
    </row>
    <row r="184" spans="3:36" ht="14.25" customHeight="1" x14ac:dyDescent="0.4">
      <c r="C184" s="1"/>
      <c r="E184" s="2"/>
      <c r="F184" s="3"/>
      <c r="G184" s="4"/>
      <c r="H184" s="5"/>
      <c r="I184" s="6"/>
      <c r="J184" s="6"/>
      <c r="K184" s="7"/>
      <c r="L184" s="5"/>
      <c r="M184" s="7"/>
      <c r="N184" s="7"/>
      <c r="O184" s="7"/>
      <c r="P184" s="5"/>
      <c r="Q184" s="7"/>
      <c r="R184" s="7"/>
      <c r="S184" s="7"/>
      <c r="T184" s="7"/>
      <c r="U184" s="7"/>
      <c r="V184" s="7"/>
      <c r="W184" s="7"/>
      <c r="X184" s="7"/>
      <c r="Y184" s="7"/>
      <c r="Z184" s="7"/>
      <c r="AA184" s="7"/>
      <c r="AB184" s="7"/>
      <c r="AC184" s="7"/>
      <c r="AD184" s="7"/>
      <c r="AE184" s="7"/>
      <c r="AF184" s="7"/>
      <c r="AG184" s="7"/>
      <c r="AH184" s="1"/>
      <c r="AI184" s="1"/>
      <c r="AJ184" s="1"/>
    </row>
    <row r="185" spans="3:36" ht="14.25" customHeight="1" x14ac:dyDescent="0.4">
      <c r="C185" s="1"/>
      <c r="E185" s="2"/>
      <c r="F185" s="3"/>
      <c r="G185" s="4"/>
      <c r="H185" s="5"/>
      <c r="I185" s="6"/>
      <c r="J185" s="6"/>
      <c r="K185" s="7"/>
      <c r="L185" s="5"/>
      <c r="M185" s="7"/>
      <c r="N185" s="7"/>
      <c r="O185" s="7"/>
      <c r="P185" s="5"/>
      <c r="Q185" s="7"/>
      <c r="R185" s="7"/>
      <c r="S185" s="7"/>
      <c r="T185" s="7"/>
      <c r="U185" s="7"/>
      <c r="V185" s="7"/>
      <c r="W185" s="7"/>
      <c r="X185" s="7"/>
      <c r="Y185" s="7"/>
      <c r="Z185" s="7"/>
      <c r="AA185" s="7"/>
      <c r="AB185" s="7"/>
      <c r="AC185" s="7"/>
      <c r="AD185" s="7"/>
      <c r="AE185" s="7"/>
      <c r="AF185" s="7"/>
      <c r="AG185" s="7"/>
      <c r="AH185" s="1"/>
      <c r="AI185" s="1"/>
      <c r="AJ185" s="1"/>
    </row>
    <row r="186" spans="3:36" ht="14.25" customHeight="1" x14ac:dyDescent="0.4">
      <c r="C186" s="1"/>
      <c r="E186" s="2"/>
      <c r="F186" s="3"/>
      <c r="G186" s="4"/>
      <c r="H186" s="5"/>
      <c r="I186" s="6"/>
      <c r="J186" s="6"/>
      <c r="K186" s="7"/>
      <c r="L186" s="5"/>
      <c r="M186" s="7"/>
      <c r="N186" s="7"/>
      <c r="O186" s="7"/>
      <c r="P186" s="5"/>
      <c r="Q186" s="7"/>
      <c r="R186" s="7"/>
      <c r="S186" s="7"/>
      <c r="T186" s="7"/>
      <c r="U186" s="7"/>
      <c r="V186" s="7"/>
      <c r="W186" s="7"/>
      <c r="X186" s="7"/>
      <c r="Y186" s="7"/>
      <c r="Z186" s="7"/>
      <c r="AA186" s="7"/>
      <c r="AB186" s="7"/>
      <c r="AC186" s="7"/>
      <c r="AD186" s="7"/>
      <c r="AE186" s="7"/>
      <c r="AF186" s="7"/>
      <c r="AG186" s="7"/>
      <c r="AH186" s="1"/>
      <c r="AI186" s="1"/>
      <c r="AJ186" s="1"/>
    </row>
    <row r="187" spans="3:36" ht="14.25" customHeight="1" x14ac:dyDescent="0.4">
      <c r="C187" s="1"/>
      <c r="E187" s="2"/>
      <c r="F187" s="3"/>
      <c r="G187" s="4"/>
      <c r="H187" s="5"/>
      <c r="I187" s="6"/>
      <c r="J187" s="6"/>
      <c r="K187" s="7"/>
      <c r="L187" s="5"/>
      <c r="M187" s="7"/>
      <c r="N187" s="7"/>
      <c r="O187" s="7"/>
      <c r="P187" s="5"/>
      <c r="Q187" s="7"/>
      <c r="R187" s="7"/>
      <c r="S187" s="7"/>
      <c r="T187" s="7"/>
      <c r="U187" s="7"/>
      <c r="V187" s="7"/>
      <c r="W187" s="7"/>
      <c r="X187" s="7"/>
      <c r="Y187" s="7"/>
      <c r="Z187" s="7"/>
      <c r="AA187" s="7"/>
      <c r="AB187" s="7"/>
      <c r="AC187" s="7"/>
      <c r="AD187" s="7"/>
      <c r="AE187" s="7"/>
      <c r="AF187" s="7"/>
      <c r="AG187" s="7"/>
      <c r="AH187" s="1"/>
      <c r="AI187" s="1"/>
      <c r="AJ187" s="1"/>
    </row>
    <row r="188" spans="3:36" ht="14.25" customHeight="1" x14ac:dyDescent="0.4">
      <c r="C188" s="1"/>
      <c r="E188" s="2"/>
      <c r="F188" s="3"/>
      <c r="G188" s="4"/>
      <c r="H188" s="5"/>
      <c r="I188" s="6"/>
      <c r="J188" s="6"/>
      <c r="K188" s="7"/>
      <c r="L188" s="5"/>
      <c r="M188" s="7"/>
      <c r="N188" s="7"/>
      <c r="O188" s="7"/>
      <c r="P188" s="5"/>
      <c r="Q188" s="7"/>
      <c r="R188" s="7"/>
      <c r="S188" s="7"/>
      <c r="T188" s="7"/>
      <c r="U188" s="7"/>
      <c r="V188" s="7"/>
      <c r="W188" s="7"/>
      <c r="X188" s="7"/>
      <c r="Y188" s="7"/>
      <c r="Z188" s="7"/>
      <c r="AA188" s="7"/>
      <c r="AB188" s="7"/>
      <c r="AC188" s="7"/>
      <c r="AD188" s="7"/>
      <c r="AE188" s="7"/>
      <c r="AF188" s="7"/>
      <c r="AG188" s="7"/>
      <c r="AH188" s="1"/>
      <c r="AI188" s="1"/>
      <c r="AJ188" s="1"/>
    </row>
    <row r="189" spans="3:36" ht="14.25" customHeight="1" x14ac:dyDescent="0.4">
      <c r="C189" s="1"/>
      <c r="E189" s="2"/>
      <c r="F189" s="3"/>
      <c r="G189" s="4"/>
      <c r="H189" s="5"/>
      <c r="I189" s="6"/>
      <c r="J189" s="6"/>
      <c r="K189" s="7"/>
      <c r="L189" s="5"/>
      <c r="M189" s="7"/>
      <c r="N189" s="7"/>
      <c r="O189" s="7"/>
      <c r="P189" s="5"/>
      <c r="Q189" s="7"/>
      <c r="R189" s="7"/>
      <c r="S189" s="7"/>
      <c r="T189" s="7"/>
      <c r="U189" s="7"/>
      <c r="V189" s="7"/>
      <c r="W189" s="7"/>
      <c r="X189" s="7"/>
      <c r="Y189" s="7"/>
      <c r="Z189" s="7"/>
      <c r="AA189" s="7"/>
      <c r="AB189" s="7"/>
      <c r="AC189" s="7"/>
      <c r="AD189" s="7"/>
      <c r="AE189" s="7"/>
      <c r="AF189" s="7"/>
      <c r="AG189" s="7"/>
      <c r="AH189" s="1"/>
      <c r="AI189" s="1"/>
      <c r="AJ189" s="1"/>
    </row>
    <row r="190" spans="3:36" ht="14.25" customHeight="1" x14ac:dyDescent="0.4">
      <c r="C190" s="1"/>
      <c r="E190" s="2"/>
      <c r="F190" s="3"/>
      <c r="G190" s="4"/>
      <c r="H190" s="5"/>
      <c r="I190" s="6"/>
      <c r="J190" s="6"/>
      <c r="K190" s="7"/>
      <c r="L190" s="5"/>
      <c r="M190" s="7"/>
      <c r="N190" s="7"/>
      <c r="O190" s="7"/>
      <c r="P190" s="5"/>
      <c r="Q190" s="7"/>
      <c r="R190" s="7"/>
      <c r="S190" s="7"/>
      <c r="T190" s="7"/>
      <c r="U190" s="7"/>
      <c r="V190" s="7"/>
      <c r="W190" s="7"/>
      <c r="X190" s="7"/>
      <c r="Y190" s="7"/>
      <c r="Z190" s="7"/>
      <c r="AA190" s="7"/>
      <c r="AB190" s="7"/>
      <c r="AC190" s="7"/>
      <c r="AD190" s="7"/>
      <c r="AE190" s="7"/>
      <c r="AF190" s="7"/>
      <c r="AG190" s="7"/>
      <c r="AH190" s="1"/>
      <c r="AI190" s="1"/>
      <c r="AJ190" s="1"/>
    </row>
    <row r="191" spans="3:36" ht="14.25" customHeight="1" x14ac:dyDescent="0.4">
      <c r="C191" s="1"/>
      <c r="E191" s="2"/>
      <c r="F191" s="3"/>
      <c r="G191" s="4"/>
      <c r="H191" s="5"/>
      <c r="I191" s="6"/>
      <c r="J191" s="6"/>
      <c r="K191" s="7"/>
      <c r="L191" s="5"/>
      <c r="M191" s="7"/>
      <c r="N191" s="7"/>
      <c r="O191" s="7"/>
      <c r="P191" s="5"/>
      <c r="Q191" s="7"/>
      <c r="R191" s="7"/>
      <c r="S191" s="7"/>
      <c r="T191" s="7"/>
      <c r="U191" s="7"/>
      <c r="V191" s="7"/>
      <c r="W191" s="7"/>
      <c r="X191" s="7"/>
      <c r="Y191" s="7"/>
      <c r="Z191" s="7"/>
      <c r="AA191" s="7"/>
      <c r="AB191" s="7"/>
      <c r="AC191" s="7"/>
      <c r="AD191" s="7"/>
      <c r="AE191" s="7"/>
      <c r="AF191" s="7"/>
      <c r="AG191" s="7"/>
      <c r="AH191" s="1"/>
      <c r="AI191" s="1"/>
      <c r="AJ191" s="1"/>
    </row>
    <row r="192" spans="3:36" ht="14.25" customHeight="1" x14ac:dyDescent="0.4">
      <c r="C192" s="1"/>
      <c r="E192" s="2"/>
      <c r="F192" s="3"/>
      <c r="G192" s="4"/>
      <c r="H192" s="5"/>
      <c r="I192" s="6"/>
      <c r="J192" s="6"/>
      <c r="K192" s="7"/>
      <c r="L192" s="5"/>
      <c r="M192" s="7"/>
      <c r="N192" s="7"/>
      <c r="O192" s="7"/>
      <c r="P192" s="5"/>
      <c r="Q192" s="7"/>
      <c r="R192" s="7"/>
      <c r="S192" s="7"/>
      <c r="T192" s="7"/>
      <c r="U192" s="7"/>
      <c r="V192" s="7"/>
      <c r="W192" s="7"/>
      <c r="X192" s="7"/>
      <c r="Y192" s="7"/>
      <c r="Z192" s="7"/>
      <c r="AA192" s="7"/>
      <c r="AB192" s="7"/>
      <c r="AC192" s="7"/>
      <c r="AD192" s="7"/>
      <c r="AE192" s="7"/>
      <c r="AF192" s="7"/>
      <c r="AG192" s="7"/>
      <c r="AH192" s="1"/>
      <c r="AI192" s="1"/>
      <c r="AJ192" s="1"/>
    </row>
    <row r="193" spans="3:36" ht="14.25" customHeight="1" x14ac:dyDescent="0.4">
      <c r="C193" s="1"/>
      <c r="E193" s="2"/>
      <c r="F193" s="3"/>
      <c r="G193" s="4"/>
      <c r="H193" s="5"/>
      <c r="I193" s="6"/>
      <c r="J193" s="6"/>
      <c r="K193" s="7"/>
      <c r="L193" s="5"/>
      <c r="M193" s="7"/>
      <c r="N193" s="7"/>
      <c r="O193" s="7"/>
      <c r="P193" s="5"/>
      <c r="Q193" s="7"/>
      <c r="R193" s="7"/>
      <c r="S193" s="7"/>
      <c r="T193" s="7"/>
      <c r="U193" s="7"/>
      <c r="V193" s="7"/>
      <c r="W193" s="7"/>
      <c r="X193" s="7"/>
      <c r="Y193" s="7"/>
      <c r="Z193" s="7"/>
      <c r="AA193" s="7"/>
      <c r="AB193" s="7"/>
      <c r="AC193" s="7"/>
      <c r="AD193" s="7"/>
      <c r="AE193" s="7"/>
      <c r="AF193" s="7"/>
      <c r="AG193" s="7"/>
      <c r="AH193" s="1"/>
      <c r="AI193" s="1"/>
      <c r="AJ193" s="1"/>
    </row>
    <row r="194" spans="3:36" ht="14.25" customHeight="1" x14ac:dyDescent="0.4">
      <c r="C194" s="1"/>
      <c r="E194" s="2"/>
      <c r="F194" s="3"/>
      <c r="G194" s="4"/>
      <c r="H194" s="5"/>
      <c r="I194" s="6"/>
      <c r="J194" s="6"/>
      <c r="K194" s="7"/>
      <c r="L194" s="5"/>
      <c r="M194" s="7"/>
      <c r="N194" s="7"/>
      <c r="O194" s="7"/>
      <c r="P194" s="5"/>
      <c r="Q194" s="7"/>
      <c r="R194" s="7"/>
      <c r="S194" s="7"/>
      <c r="T194" s="7"/>
      <c r="U194" s="7"/>
      <c r="V194" s="7"/>
      <c r="W194" s="7"/>
      <c r="X194" s="7"/>
      <c r="Y194" s="7"/>
      <c r="Z194" s="7"/>
      <c r="AA194" s="7"/>
      <c r="AB194" s="7"/>
      <c r="AC194" s="7"/>
      <c r="AD194" s="7"/>
      <c r="AE194" s="7"/>
      <c r="AF194" s="7"/>
      <c r="AG194" s="7"/>
      <c r="AH194" s="1"/>
      <c r="AI194" s="1"/>
      <c r="AJ194" s="1"/>
    </row>
    <row r="195" spans="3:36" ht="14.25" customHeight="1" x14ac:dyDescent="0.4">
      <c r="C195" s="1"/>
      <c r="E195" s="2"/>
      <c r="F195" s="3"/>
      <c r="G195" s="4"/>
      <c r="H195" s="5"/>
      <c r="I195" s="6"/>
      <c r="J195" s="6"/>
      <c r="K195" s="7"/>
      <c r="L195" s="5"/>
      <c r="M195" s="7"/>
      <c r="N195" s="7"/>
      <c r="O195" s="7"/>
      <c r="P195" s="5"/>
      <c r="Q195" s="7"/>
      <c r="R195" s="7"/>
      <c r="S195" s="7"/>
      <c r="T195" s="7"/>
      <c r="U195" s="7"/>
      <c r="V195" s="7"/>
      <c r="W195" s="7"/>
      <c r="X195" s="7"/>
      <c r="Y195" s="7"/>
      <c r="Z195" s="7"/>
      <c r="AA195" s="7"/>
      <c r="AB195" s="7"/>
      <c r="AC195" s="7"/>
      <c r="AD195" s="7"/>
      <c r="AE195" s="7"/>
      <c r="AF195" s="7"/>
      <c r="AG195" s="7"/>
      <c r="AH195" s="1"/>
      <c r="AI195" s="1"/>
      <c r="AJ195" s="1"/>
    </row>
    <row r="196" spans="3:36" ht="14.25" customHeight="1" x14ac:dyDescent="0.4">
      <c r="C196" s="1"/>
      <c r="E196" s="2"/>
      <c r="F196" s="3"/>
      <c r="G196" s="4"/>
      <c r="H196" s="5"/>
      <c r="I196" s="6"/>
      <c r="J196" s="6"/>
      <c r="K196" s="7"/>
      <c r="L196" s="5"/>
      <c r="M196" s="7"/>
      <c r="N196" s="7"/>
      <c r="O196" s="7"/>
      <c r="P196" s="5"/>
      <c r="Q196" s="7"/>
      <c r="R196" s="7"/>
      <c r="S196" s="7"/>
      <c r="T196" s="7"/>
      <c r="U196" s="7"/>
      <c r="V196" s="7"/>
      <c r="W196" s="7"/>
      <c r="X196" s="7"/>
      <c r="Y196" s="7"/>
      <c r="Z196" s="7"/>
      <c r="AA196" s="7"/>
      <c r="AB196" s="7"/>
      <c r="AC196" s="7"/>
      <c r="AD196" s="7"/>
      <c r="AE196" s="7"/>
      <c r="AF196" s="7"/>
      <c r="AG196" s="7"/>
      <c r="AH196" s="1"/>
      <c r="AI196" s="1"/>
      <c r="AJ196" s="1"/>
    </row>
    <row r="197" spans="3:36" ht="14.25" customHeight="1" x14ac:dyDescent="0.4">
      <c r="C197" s="1"/>
      <c r="E197" s="2"/>
      <c r="F197" s="3"/>
      <c r="G197" s="4"/>
      <c r="H197" s="5"/>
      <c r="I197" s="6"/>
      <c r="J197" s="6"/>
      <c r="K197" s="7"/>
      <c r="L197" s="5"/>
      <c r="M197" s="7"/>
      <c r="N197" s="7"/>
      <c r="O197" s="7"/>
      <c r="P197" s="5"/>
      <c r="Q197" s="7"/>
      <c r="R197" s="7"/>
      <c r="S197" s="7"/>
      <c r="T197" s="7"/>
      <c r="U197" s="7"/>
      <c r="V197" s="7"/>
      <c r="W197" s="7"/>
      <c r="X197" s="7"/>
      <c r="Y197" s="7"/>
      <c r="Z197" s="7"/>
      <c r="AA197" s="7"/>
      <c r="AB197" s="7"/>
      <c r="AC197" s="7"/>
      <c r="AD197" s="7"/>
      <c r="AE197" s="7"/>
      <c r="AF197" s="7"/>
      <c r="AG197" s="7"/>
      <c r="AH197" s="1"/>
      <c r="AI197" s="1"/>
      <c r="AJ197" s="1"/>
    </row>
    <row r="198" spans="3:36" ht="14.25" customHeight="1" x14ac:dyDescent="0.4">
      <c r="C198" s="1"/>
      <c r="E198" s="2"/>
      <c r="F198" s="3"/>
      <c r="G198" s="4"/>
      <c r="H198" s="5"/>
      <c r="I198" s="6"/>
      <c r="J198" s="6"/>
      <c r="K198" s="7"/>
      <c r="L198" s="5"/>
      <c r="M198" s="7"/>
      <c r="N198" s="7"/>
      <c r="O198" s="7"/>
      <c r="P198" s="5"/>
      <c r="Q198" s="7"/>
      <c r="R198" s="7"/>
      <c r="S198" s="7"/>
      <c r="T198" s="7"/>
      <c r="U198" s="7"/>
      <c r="V198" s="7"/>
      <c r="W198" s="7"/>
      <c r="X198" s="7"/>
      <c r="Y198" s="7"/>
      <c r="Z198" s="7"/>
      <c r="AA198" s="7"/>
      <c r="AB198" s="7"/>
      <c r="AC198" s="7"/>
      <c r="AD198" s="7"/>
      <c r="AE198" s="7"/>
      <c r="AF198" s="7"/>
      <c r="AG198" s="7"/>
      <c r="AH198" s="1"/>
      <c r="AI198" s="1"/>
      <c r="AJ198" s="1"/>
    </row>
    <row r="199" spans="3:36" ht="14.25" customHeight="1" x14ac:dyDescent="0.4">
      <c r="C199" s="1"/>
      <c r="E199" s="2"/>
      <c r="F199" s="3"/>
      <c r="G199" s="4"/>
      <c r="H199" s="5"/>
      <c r="I199" s="6"/>
      <c r="J199" s="6"/>
      <c r="K199" s="7"/>
      <c r="L199" s="5"/>
      <c r="M199" s="7"/>
      <c r="N199" s="7"/>
      <c r="O199" s="7"/>
      <c r="P199" s="5"/>
      <c r="Q199" s="7"/>
      <c r="R199" s="7"/>
      <c r="S199" s="7"/>
      <c r="T199" s="7"/>
      <c r="U199" s="7"/>
      <c r="V199" s="7"/>
      <c r="W199" s="7"/>
      <c r="X199" s="7"/>
      <c r="Y199" s="7"/>
      <c r="Z199" s="7"/>
      <c r="AA199" s="7"/>
      <c r="AB199" s="7"/>
      <c r="AC199" s="7"/>
      <c r="AD199" s="7"/>
      <c r="AE199" s="7"/>
      <c r="AF199" s="7"/>
      <c r="AG199" s="7"/>
      <c r="AH199" s="1"/>
      <c r="AI199" s="1"/>
      <c r="AJ199" s="1"/>
    </row>
    <row r="200" spans="3:36" ht="14.25" customHeight="1" x14ac:dyDescent="0.4">
      <c r="C200" s="1"/>
      <c r="E200" s="2"/>
      <c r="F200" s="3"/>
      <c r="G200" s="4"/>
      <c r="H200" s="5"/>
      <c r="I200" s="6"/>
      <c r="J200" s="6"/>
      <c r="K200" s="7"/>
      <c r="L200" s="5"/>
      <c r="M200" s="7"/>
      <c r="N200" s="7"/>
      <c r="O200" s="7"/>
      <c r="P200" s="5"/>
      <c r="Q200" s="7"/>
      <c r="R200" s="7"/>
      <c r="S200" s="7"/>
      <c r="T200" s="7"/>
      <c r="U200" s="7"/>
      <c r="V200" s="7"/>
      <c r="W200" s="7"/>
      <c r="X200" s="7"/>
      <c r="Y200" s="7"/>
      <c r="Z200" s="7"/>
      <c r="AA200" s="7"/>
      <c r="AB200" s="7"/>
      <c r="AC200" s="7"/>
      <c r="AD200" s="7"/>
      <c r="AE200" s="7"/>
      <c r="AF200" s="7"/>
      <c r="AG200" s="7"/>
      <c r="AH200" s="1"/>
      <c r="AI200" s="1"/>
      <c r="AJ200" s="1"/>
    </row>
    <row r="201" spans="3:36" ht="14.25" customHeight="1" x14ac:dyDescent="0.4">
      <c r="C201" s="1"/>
      <c r="E201" s="2"/>
      <c r="F201" s="3"/>
      <c r="G201" s="4"/>
      <c r="H201" s="5"/>
      <c r="I201" s="6"/>
      <c r="J201" s="6"/>
      <c r="K201" s="7"/>
      <c r="L201" s="5"/>
      <c r="M201" s="7"/>
      <c r="N201" s="7"/>
      <c r="O201" s="7"/>
      <c r="P201" s="5"/>
      <c r="Q201" s="7"/>
      <c r="R201" s="7"/>
      <c r="S201" s="7"/>
      <c r="T201" s="7"/>
      <c r="U201" s="7"/>
      <c r="V201" s="7"/>
      <c r="W201" s="7"/>
      <c r="X201" s="7"/>
      <c r="Y201" s="7"/>
      <c r="Z201" s="7"/>
      <c r="AA201" s="7"/>
      <c r="AB201" s="7"/>
      <c r="AC201" s="7"/>
      <c r="AD201" s="7"/>
      <c r="AE201" s="7"/>
      <c r="AF201" s="7"/>
      <c r="AG201" s="7"/>
      <c r="AH201" s="1"/>
      <c r="AI201" s="1"/>
      <c r="AJ201" s="1"/>
    </row>
    <row r="202" spans="3:36" ht="14.25" customHeight="1" x14ac:dyDescent="0.4">
      <c r="C202" s="1"/>
      <c r="E202" s="2"/>
      <c r="F202" s="3"/>
      <c r="G202" s="4"/>
      <c r="H202" s="5"/>
      <c r="I202" s="6"/>
      <c r="J202" s="6"/>
      <c r="K202" s="7"/>
      <c r="L202" s="5"/>
      <c r="M202" s="7"/>
      <c r="N202" s="7"/>
      <c r="O202" s="7"/>
      <c r="P202" s="5"/>
      <c r="Q202" s="7"/>
      <c r="R202" s="7"/>
      <c r="S202" s="7"/>
      <c r="T202" s="7"/>
      <c r="U202" s="7"/>
      <c r="V202" s="7"/>
      <c r="W202" s="7"/>
      <c r="X202" s="7"/>
      <c r="Y202" s="7"/>
      <c r="Z202" s="7"/>
      <c r="AA202" s="7"/>
      <c r="AB202" s="7"/>
      <c r="AC202" s="7"/>
      <c r="AD202" s="7"/>
      <c r="AE202" s="7"/>
      <c r="AF202" s="7"/>
      <c r="AG202" s="7"/>
      <c r="AH202" s="1"/>
      <c r="AI202" s="1"/>
      <c r="AJ202" s="1"/>
    </row>
    <row r="203" spans="3:36" ht="14.25" customHeight="1" x14ac:dyDescent="0.4">
      <c r="C203" s="1"/>
      <c r="E203" s="2"/>
      <c r="F203" s="3"/>
      <c r="G203" s="4"/>
      <c r="H203" s="5"/>
      <c r="I203" s="6"/>
      <c r="J203" s="6"/>
      <c r="K203" s="7"/>
      <c r="L203" s="5"/>
      <c r="M203" s="7"/>
      <c r="N203" s="7"/>
      <c r="O203" s="7"/>
      <c r="P203" s="5"/>
      <c r="Q203" s="7"/>
      <c r="R203" s="7"/>
      <c r="S203" s="7"/>
      <c r="T203" s="7"/>
      <c r="U203" s="7"/>
      <c r="V203" s="7"/>
      <c r="W203" s="7"/>
      <c r="X203" s="7"/>
      <c r="Y203" s="7"/>
      <c r="Z203" s="7"/>
      <c r="AA203" s="7"/>
      <c r="AB203" s="7"/>
      <c r="AC203" s="7"/>
      <c r="AD203" s="7"/>
      <c r="AE203" s="7"/>
      <c r="AF203" s="7"/>
      <c r="AG203" s="7"/>
      <c r="AH203" s="1"/>
      <c r="AI203" s="1"/>
      <c r="AJ203" s="1"/>
    </row>
    <row r="204" spans="3:36" ht="14.25" customHeight="1" x14ac:dyDescent="0.4">
      <c r="C204" s="1"/>
      <c r="E204" s="2"/>
      <c r="F204" s="3"/>
      <c r="G204" s="4"/>
      <c r="H204" s="5"/>
      <c r="I204" s="6"/>
      <c r="J204" s="6"/>
      <c r="K204" s="7"/>
      <c r="L204" s="5"/>
      <c r="M204" s="7"/>
      <c r="N204" s="7"/>
      <c r="O204" s="7"/>
      <c r="P204" s="5"/>
      <c r="Q204" s="7"/>
      <c r="R204" s="7"/>
      <c r="S204" s="7"/>
      <c r="T204" s="7"/>
      <c r="U204" s="7"/>
      <c r="V204" s="7"/>
      <c r="W204" s="7"/>
      <c r="X204" s="7"/>
      <c r="Y204" s="7"/>
      <c r="Z204" s="7"/>
      <c r="AA204" s="7"/>
      <c r="AB204" s="7"/>
      <c r="AC204" s="7"/>
      <c r="AD204" s="7"/>
      <c r="AE204" s="7"/>
      <c r="AF204" s="7"/>
      <c r="AG204" s="7"/>
      <c r="AH204" s="1"/>
      <c r="AI204" s="1"/>
      <c r="AJ204" s="1"/>
    </row>
    <row r="205" spans="3:36" ht="14.25" customHeight="1" x14ac:dyDescent="0.4">
      <c r="C205" s="1"/>
      <c r="E205" s="2"/>
      <c r="F205" s="3"/>
      <c r="G205" s="4"/>
      <c r="H205" s="5"/>
      <c r="I205" s="6"/>
      <c r="J205" s="6"/>
      <c r="K205" s="7"/>
      <c r="L205" s="5"/>
      <c r="M205" s="7"/>
      <c r="N205" s="7"/>
      <c r="O205" s="7"/>
      <c r="P205" s="5"/>
      <c r="Q205" s="7"/>
      <c r="R205" s="7"/>
      <c r="S205" s="7"/>
      <c r="T205" s="7"/>
      <c r="U205" s="7"/>
      <c r="V205" s="7"/>
      <c r="W205" s="7"/>
      <c r="X205" s="7"/>
      <c r="Y205" s="7"/>
      <c r="Z205" s="7"/>
      <c r="AA205" s="7"/>
      <c r="AB205" s="7"/>
      <c r="AC205" s="7"/>
      <c r="AD205" s="7"/>
      <c r="AE205" s="7"/>
      <c r="AF205" s="7"/>
      <c r="AG205" s="7"/>
      <c r="AH205" s="1"/>
      <c r="AI205" s="1"/>
      <c r="AJ205" s="1"/>
    </row>
    <row r="206" spans="3:36" ht="14.25" customHeight="1" x14ac:dyDescent="0.4">
      <c r="C206" s="1"/>
      <c r="E206" s="2"/>
      <c r="F206" s="3"/>
      <c r="G206" s="4"/>
      <c r="H206" s="5"/>
      <c r="I206" s="6"/>
      <c r="J206" s="6"/>
      <c r="K206" s="7"/>
      <c r="L206" s="5"/>
      <c r="M206" s="7"/>
      <c r="N206" s="7"/>
      <c r="O206" s="7"/>
      <c r="P206" s="5"/>
      <c r="Q206" s="7"/>
      <c r="R206" s="7"/>
      <c r="S206" s="7"/>
      <c r="T206" s="7"/>
      <c r="U206" s="7"/>
      <c r="V206" s="7"/>
      <c r="W206" s="7"/>
      <c r="X206" s="7"/>
      <c r="Y206" s="7"/>
      <c r="Z206" s="7"/>
      <c r="AA206" s="7"/>
      <c r="AB206" s="7"/>
      <c r="AC206" s="7"/>
      <c r="AD206" s="7"/>
      <c r="AE206" s="7"/>
      <c r="AF206" s="7"/>
      <c r="AG206" s="7"/>
      <c r="AH206" s="1"/>
      <c r="AI206" s="1"/>
      <c r="AJ206" s="1"/>
    </row>
    <row r="207" spans="3:36" ht="14.25" customHeight="1" x14ac:dyDescent="0.4">
      <c r="C207" s="1"/>
      <c r="E207" s="2"/>
      <c r="F207" s="3"/>
      <c r="G207" s="4"/>
      <c r="H207" s="5"/>
      <c r="I207" s="6"/>
      <c r="J207" s="6"/>
      <c r="K207" s="7"/>
      <c r="L207" s="5"/>
      <c r="M207" s="7"/>
      <c r="N207" s="7"/>
      <c r="O207" s="7"/>
      <c r="P207" s="5"/>
      <c r="Q207" s="7"/>
      <c r="R207" s="7"/>
      <c r="S207" s="7"/>
      <c r="T207" s="7"/>
      <c r="U207" s="7"/>
      <c r="V207" s="7"/>
      <c r="W207" s="7"/>
      <c r="X207" s="7"/>
      <c r="Y207" s="7"/>
      <c r="Z207" s="7"/>
      <c r="AA207" s="7"/>
      <c r="AB207" s="7"/>
      <c r="AC207" s="7"/>
      <c r="AD207" s="7"/>
      <c r="AE207" s="7"/>
      <c r="AF207" s="7"/>
      <c r="AG207" s="7"/>
      <c r="AH207" s="1"/>
      <c r="AI207" s="1"/>
      <c r="AJ207" s="1"/>
    </row>
    <row r="208" spans="3:36" ht="14.25" customHeight="1" x14ac:dyDescent="0.4">
      <c r="C208" s="1"/>
      <c r="E208" s="2"/>
      <c r="F208" s="3"/>
      <c r="G208" s="4"/>
      <c r="H208" s="5"/>
      <c r="I208" s="6"/>
      <c r="J208" s="6"/>
      <c r="K208" s="7"/>
      <c r="L208" s="5"/>
      <c r="M208" s="7"/>
      <c r="N208" s="7"/>
      <c r="O208" s="7"/>
      <c r="P208" s="5"/>
      <c r="Q208" s="7"/>
      <c r="R208" s="7"/>
      <c r="S208" s="7"/>
      <c r="T208" s="7"/>
      <c r="U208" s="7"/>
      <c r="V208" s="7"/>
      <c r="W208" s="7"/>
      <c r="X208" s="7"/>
      <c r="Y208" s="7"/>
      <c r="Z208" s="7"/>
      <c r="AA208" s="7"/>
      <c r="AB208" s="7"/>
      <c r="AC208" s="7"/>
      <c r="AD208" s="7"/>
      <c r="AE208" s="7"/>
      <c r="AF208" s="7"/>
      <c r="AG208" s="7"/>
      <c r="AH208" s="1"/>
      <c r="AI208" s="1"/>
      <c r="AJ208" s="1"/>
    </row>
    <row r="209" spans="3:36" ht="14.25" customHeight="1" x14ac:dyDescent="0.4">
      <c r="C209" s="1"/>
      <c r="E209" s="2"/>
      <c r="F209" s="3"/>
      <c r="G209" s="4"/>
      <c r="H209" s="5"/>
      <c r="I209" s="6"/>
      <c r="J209" s="6"/>
      <c r="K209" s="7"/>
      <c r="L209" s="5"/>
      <c r="M209" s="7"/>
      <c r="N209" s="7"/>
      <c r="O209" s="7"/>
      <c r="P209" s="5"/>
      <c r="Q209" s="7"/>
      <c r="R209" s="7"/>
      <c r="S209" s="7"/>
      <c r="T209" s="7"/>
      <c r="U209" s="7"/>
      <c r="V209" s="7"/>
      <c r="W209" s="7"/>
      <c r="X209" s="7"/>
      <c r="Y209" s="7"/>
      <c r="Z209" s="7"/>
      <c r="AA209" s="7"/>
      <c r="AB209" s="7"/>
      <c r="AC209" s="7"/>
      <c r="AD209" s="7"/>
      <c r="AE209" s="7"/>
      <c r="AF209" s="7"/>
      <c r="AG209" s="7"/>
      <c r="AH209" s="1"/>
      <c r="AI209" s="1"/>
      <c r="AJ209" s="1"/>
    </row>
    <row r="210" spans="3:36" ht="14.25" customHeight="1" x14ac:dyDescent="0.4">
      <c r="C210" s="1"/>
      <c r="E210" s="2"/>
      <c r="F210" s="3"/>
      <c r="G210" s="4"/>
      <c r="H210" s="5"/>
      <c r="I210" s="6"/>
      <c r="J210" s="6"/>
      <c r="K210" s="7"/>
      <c r="L210" s="5"/>
      <c r="M210" s="7"/>
      <c r="N210" s="7"/>
      <c r="O210" s="7"/>
      <c r="P210" s="5"/>
      <c r="Q210" s="7"/>
      <c r="R210" s="7"/>
      <c r="S210" s="7"/>
      <c r="T210" s="7"/>
      <c r="U210" s="7"/>
      <c r="V210" s="7"/>
      <c r="W210" s="7"/>
      <c r="X210" s="7"/>
      <c r="Y210" s="7"/>
      <c r="Z210" s="7"/>
      <c r="AA210" s="7"/>
      <c r="AB210" s="7"/>
      <c r="AC210" s="7"/>
      <c r="AD210" s="7"/>
      <c r="AE210" s="7"/>
      <c r="AF210" s="7"/>
      <c r="AG210" s="7"/>
      <c r="AH210" s="1"/>
      <c r="AI210" s="1"/>
      <c r="AJ210" s="1"/>
    </row>
    <row r="211" spans="3:36" ht="14.25" customHeight="1" x14ac:dyDescent="0.4">
      <c r="C211" s="1"/>
      <c r="E211" s="2"/>
      <c r="F211" s="3"/>
      <c r="G211" s="4"/>
      <c r="H211" s="5"/>
      <c r="I211" s="6"/>
      <c r="J211" s="6"/>
      <c r="K211" s="7"/>
      <c r="L211" s="5"/>
      <c r="M211" s="7"/>
      <c r="N211" s="7"/>
      <c r="O211" s="7"/>
      <c r="P211" s="5"/>
      <c r="Q211" s="7"/>
      <c r="R211" s="7"/>
      <c r="S211" s="7"/>
      <c r="T211" s="7"/>
      <c r="U211" s="7"/>
      <c r="V211" s="7"/>
      <c r="W211" s="7"/>
      <c r="X211" s="7"/>
      <c r="Y211" s="7"/>
      <c r="Z211" s="7"/>
      <c r="AA211" s="7"/>
      <c r="AB211" s="7"/>
      <c r="AC211" s="7"/>
      <c r="AD211" s="7"/>
      <c r="AE211" s="7"/>
      <c r="AF211" s="7"/>
      <c r="AG211" s="7"/>
      <c r="AH211" s="1"/>
      <c r="AI211" s="1"/>
      <c r="AJ211" s="1"/>
    </row>
    <row r="212" spans="3:36" ht="14.25" customHeight="1" x14ac:dyDescent="0.4">
      <c r="C212" s="1"/>
      <c r="E212" s="2"/>
      <c r="F212" s="3"/>
      <c r="G212" s="4"/>
      <c r="H212" s="5"/>
      <c r="I212" s="6"/>
      <c r="J212" s="6"/>
      <c r="K212" s="7"/>
      <c r="L212" s="5"/>
      <c r="M212" s="7"/>
      <c r="N212" s="7"/>
      <c r="O212" s="7"/>
      <c r="P212" s="5"/>
      <c r="Q212" s="7"/>
      <c r="R212" s="7"/>
      <c r="S212" s="7"/>
      <c r="T212" s="7"/>
      <c r="U212" s="7"/>
      <c r="V212" s="7"/>
      <c r="W212" s="7"/>
      <c r="X212" s="7"/>
      <c r="Y212" s="7"/>
      <c r="Z212" s="7"/>
      <c r="AA212" s="7"/>
      <c r="AB212" s="7"/>
      <c r="AC212" s="7"/>
      <c r="AD212" s="7"/>
      <c r="AE212" s="7"/>
      <c r="AF212" s="7"/>
      <c r="AG212" s="7"/>
      <c r="AH212" s="1"/>
      <c r="AI212" s="1"/>
      <c r="AJ212" s="1"/>
    </row>
    <row r="213" spans="3:36" ht="14.25" customHeight="1" x14ac:dyDescent="0.4">
      <c r="C213" s="1"/>
      <c r="E213" s="2"/>
      <c r="F213" s="3"/>
      <c r="G213" s="4"/>
      <c r="H213" s="5"/>
      <c r="I213" s="6"/>
      <c r="J213" s="6"/>
      <c r="K213" s="7"/>
      <c r="L213" s="5"/>
      <c r="M213" s="7"/>
      <c r="N213" s="7"/>
      <c r="O213" s="7"/>
      <c r="P213" s="5"/>
      <c r="Q213" s="7"/>
      <c r="R213" s="7"/>
      <c r="S213" s="7"/>
      <c r="T213" s="7"/>
      <c r="U213" s="7"/>
      <c r="V213" s="7"/>
      <c r="W213" s="7"/>
      <c r="X213" s="7"/>
      <c r="Y213" s="7"/>
      <c r="Z213" s="7"/>
      <c r="AA213" s="7"/>
      <c r="AB213" s="7"/>
      <c r="AC213" s="7"/>
      <c r="AD213" s="7"/>
      <c r="AE213" s="7"/>
      <c r="AF213" s="7"/>
      <c r="AG213" s="7"/>
      <c r="AH213" s="1"/>
      <c r="AI213" s="1"/>
      <c r="AJ213" s="1"/>
    </row>
    <row r="214" spans="3:36" ht="14.25" customHeight="1" x14ac:dyDescent="0.4">
      <c r="C214" s="1"/>
      <c r="E214" s="2"/>
      <c r="F214" s="3"/>
      <c r="G214" s="4"/>
      <c r="H214" s="5"/>
      <c r="I214" s="6"/>
      <c r="J214" s="6"/>
      <c r="K214" s="7"/>
      <c r="L214" s="5"/>
      <c r="M214" s="7"/>
      <c r="N214" s="7"/>
      <c r="O214" s="7"/>
      <c r="P214" s="5"/>
      <c r="Q214" s="7"/>
      <c r="R214" s="7"/>
      <c r="S214" s="7"/>
      <c r="T214" s="7"/>
      <c r="U214" s="7"/>
      <c r="V214" s="7"/>
      <c r="W214" s="7"/>
      <c r="X214" s="7"/>
      <c r="Y214" s="7"/>
      <c r="Z214" s="7"/>
      <c r="AA214" s="7"/>
      <c r="AB214" s="7"/>
      <c r="AC214" s="7"/>
      <c r="AD214" s="7"/>
      <c r="AE214" s="7"/>
      <c r="AF214" s="7"/>
      <c r="AG214" s="7"/>
      <c r="AH214" s="1"/>
      <c r="AI214" s="1"/>
      <c r="AJ214" s="1"/>
    </row>
    <row r="215" spans="3:36" ht="14.25" customHeight="1" x14ac:dyDescent="0.4">
      <c r="C215" s="1"/>
      <c r="E215" s="2"/>
      <c r="F215" s="3"/>
      <c r="G215" s="4"/>
      <c r="H215" s="5"/>
      <c r="I215" s="6"/>
      <c r="J215" s="6"/>
      <c r="K215" s="7"/>
      <c r="L215" s="5"/>
      <c r="M215" s="7"/>
      <c r="N215" s="7"/>
      <c r="O215" s="7"/>
      <c r="P215" s="5"/>
      <c r="Q215" s="7"/>
      <c r="R215" s="7"/>
      <c r="S215" s="7"/>
      <c r="T215" s="7"/>
      <c r="U215" s="7"/>
      <c r="V215" s="7"/>
      <c r="W215" s="7"/>
      <c r="X215" s="7"/>
      <c r="Y215" s="7"/>
      <c r="Z215" s="7"/>
      <c r="AA215" s="7"/>
      <c r="AB215" s="7"/>
      <c r="AC215" s="7"/>
      <c r="AD215" s="7"/>
      <c r="AE215" s="7"/>
      <c r="AF215" s="7"/>
      <c r="AG215" s="7"/>
      <c r="AH215" s="1"/>
      <c r="AI215" s="1"/>
      <c r="AJ215" s="1"/>
    </row>
    <row r="216" spans="3:36" ht="14.25" customHeight="1" x14ac:dyDescent="0.4">
      <c r="C216" s="1"/>
      <c r="E216" s="2"/>
      <c r="F216" s="3"/>
      <c r="G216" s="4"/>
      <c r="H216" s="5"/>
      <c r="I216" s="6"/>
      <c r="J216" s="6"/>
      <c r="K216" s="7"/>
      <c r="L216" s="5"/>
      <c r="M216" s="7"/>
      <c r="N216" s="7"/>
      <c r="O216" s="7"/>
      <c r="P216" s="5"/>
      <c r="Q216" s="7"/>
      <c r="R216" s="7"/>
      <c r="S216" s="7"/>
      <c r="T216" s="7"/>
      <c r="U216" s="7"/>
      <c r="V216" s="7"/>
      <c r="W216" s="7"/>
      <c r="X216" s="7"/>
      <c r="Y216" s="7"/>
      <c r="Z216" s="7"/>
      <c r="AA216" s="7"/>
      <c r="AB216" s="7"/>
      <c r="AC216" s="7"/>
      <c r="AD216" s="7"/>
      <c r="AE216" s="7"/>
      <c r="AF216" s="7"/>
      <c r="AG216" s="7"/>
      <c r="AH216" s="1"/>
      <c r="AI216" s="1"/>
      <c r="AJ216" s="1"/>
    </row>
    <row r="217" spans="3:36" ht="14.25" customHeight="1" x14ac:dyDescent="0.4">
      <c r="C217" s="1"/>
      <c r="E217" s="2"/>
      <c r="F217" s="3"/>
      <c r="G217" s="4"/>
      <c r="H217" s="5"/>
      <c r="I217" s="6"/>
      <c r="J217" s="6"/>
      <c r="K217" s="7"/>
      <c r="L217" s="5"/>
      <c r="M217" s="7"/>
      <c r="N217" s="7"/>
      <c r="O217" s="7"/>
      <c r="P217" s="5"/>
      <c r="Q217" s="7"/>
      <c r="R217" s="7"/>
      <c r="S217" s="7"/>
      <c r="T217" s="7"/>
      <c r="U217" s="7"/>
      <c r="V217" s="7"/>
      <c r="W217" s="7"/>
      <c r="X217" s="7"/>
      <c r="Y217" s="7"/>
      <c r="Z217" s="7"/>
      <c r="AA217" s="7"/>
      <c r="AB217" s="7"/>
      <c r="AC217" s="7"/>
      <c r="AD217" s="7"/>
      <c r="AE217" s="7"/>
      <c r="AF217" s="7"/>
      <c r="AG217" s="7"/>
      <c r="AH217" s="1"/>
      <c r="AI217" s="1"/>
      <c r="AJ217" s="1"/>
    </row>
    <row r="218" spans="3:36" ht="14.25" customHeight="1" x14ac:dyDescent="0.4">
      <c r="C218" s="1"/>
      <c r="E218" s="2"/>
      <c r="F218" s="3"/>
      <c r="G218" s="4"/>
      <c r="H218" s="5"/>
      <c r="I218" s="6"/>
      <c r="J218" s="6"/>
      <c r="K218" s="7"/>
      <c r="L218" s="5"/>
      <c r="M218" s="7"/>
      <c r="N218" s="7"/>
      <c r="O218" s="7"/>
      <c r="P218" s="5"/>
      <c r="Q218" s="7"/>
      <c r="R218" s="7"/>
      <c r="S218" s="7"/>
      <c r="T218" s="7"/>
      <c r="U218" s="7"/>
      <c r="V218" s="7"/>
      <c r="W218" s="7"/>
      <c r="X218" s="7"/>
      <c r="Y218" s="7"/>
      <c r="Z218" s="7"/>
      <c r="AA218" s="7"/>
      <c r="AB218" s="7"/>
      <c r="AC218" s="7"/>
      <c r="AD218" s="7"/>
      <c r="AE218" s="7"/>
      <c r="AF218" s="7"/>
      <c r="AG218" s="7"/>
      <c r="AH218" s="1"/>
      <c r="AI218" s="1"/>
      <c r="AJ218" s="1"/>
    </row>
    <row r="219" spans="3:36" ht="14.25" customHeight="1" x14ac:dyDescent="0.4">
      <c r="C219" s="1"/>
      <c r="E219" s="2"/>
      <c r="F219" s="3"/>
      <c r="G219" s="4"/>
      <c r="H219" s="5"/>
      <c r="I219" s="6"/>
      <c r="J219" s="6"/>
      <c r="K219" s="7"/>
      <c r="L219" s="5"/>
      <c r="M219" s="7"/>
      <c r="N219" s="7"/>
      <c r="O219" s="7"/>
      <c r="P219" s="5"/>
      <c r="Q219" s="7"/>
      <c r="R219" s="7"/>
      <c r="S219" s="7"/>
      <c r="T219" s="7"/>
      <c r="U219" s="7"/>
      <c r="V219" s="7"/>
      <c r="W219" s="7"/>
      <c r="X219" s="7"/>
      <c r="Y219" s="7"/>
      <c r="Z219" s="7"/>
      <c r="AA219" s="7"/>
      <c r="AB219" s="7"/>
      <c r="AC219" s="7"/>
      <c r="AD219" s="7"/>
      <c r="AE219" s="7"/>
      <c r="AF219" s="7"/>
      <c r="AG219" s="7"/>
      <c r="AH219" s="1"/>
      <c r="AI219" s="1"/>
      <c r="AJ219" s="1"/>
    </row>
    <row r="220" spans="3:36" ht="14.25" customHeight="1" x14ac:dyDescent="0.4">
      <c r="C220" s="1"/>
      <c r="E220" s="2"/>
      <c r="F220" s="3"/>
      <c r="G220" s="4"/>
      <c r="H220" s="5"/>
      <c r="I220" s="6"/>
      <c r="J220" s="6"/>
      <c r="K220" s="7"/>
      <c r="L220" s="5"/>
      <c r="M220" s="7"/>
      <c r="N220" s="7"/>
      <c r="O220" s="7"/>
      <c r="P220" s="5"/>
      <c r="Q220" s="7"/>
      <c r="R220" s="7"/>
      <c r="S220" s="7"/>
      <c r="T220" s="7"/>
      <c r="U220" s="7"/>
      <c r="V220" s="7"/>
      <c r="W220" s="7"/>
      <c r="X220" s="7"/>
      <c r="Y220" s="7"/>
      <c r="Z220" s="7"/>
      <c r="AA220" s="7"/>
      <c r="AB220" s="7"/>
      <c r="AC220" s="7"/>
      <c r="AD220" s="7"/>
      <c r="AE220" s="7"/>
      <c r="AF220" s="7"/>
      <c r="AG220" s="7"/>
      <c r="AH220" s="1"/>
      <c r="AI220" s="1"/>
      <c r="AJ220" s="1"/>
    </row>
    <row r="221" spans="3:36" ht="14.25" customHeight="1" x14ac:dyDescent="0.4">
      <c r="C221" s="1"/>
      <c r="E221" s="2"/>
      <c r="F221" s="3"/>
      <c r="G221" s="4"/>
      <c r="H221" s="5"/>
      <c r="I221" s="6"/>
      <c r="J221" s="6"/>
      <c r="K221" s="7"/>
      <c r="L221" s="5"/>
      <c r="M221" s="7"/>
      <c r="N221" s="7"/>
      <c r="O221" s="7"/>
      <c r="P221" s="5"/>
      <c r="Q221" s="7"/>
      <c r="R221" s="7"/>
      <c r="S221" s="7"/>
      <c r="T221" s="7"/>
      <c r="U221" s="7"/>
      <c r="V221" s="7"/>
      <c r="W221" s="7"/>
      <c r="X221" s="7"/>
      <c r="Y221" s="7"/>
      <c r="Z221" s="7"/>
      <c r="AA221" s="7"/>
      <c r="AB221" s="7"/>
      <c r="AC221" s="7"/>
      <c r="AD221" s="7"/>
      <c r="AE221" s="7"/>
      <c r="AF221" s="7"/>
      <c r="AG221" s="7"/>
      <c r="AH221" s="1"/>
      <c r="AI221" s="1"/>
      <c r="AJ221" s="1"/>
    </row>
    <row r="222" spans="3:36" ht="14.25" customHeight="1" x14ac:dyDescent="0.4">
      <c r="C222" s="1"/>
      <c r="E222" s="2"/>
      <c r="F222" s="3"/>
      <c r="G222" s="4"/>
      <c r="H222" s="5"/>
      <c r="I222" s="6"/>
      <c r="J222" s="6"/>
      <c r="K222" s="7"/>
      <c r="L222" s="5"/>
      <c r="M222" s="7"/>
      <c r="N222" s="7"/>
      <c r="O222" s="7"/>
      <c r="P222" s="5"/>
      <c r="Q222" s="7"/>
      <c r="R222" s="7"/>
      <c r="S222" s="7"/>
      <c r="T222" s="7"/>
      <c r="U222" s="7"/>
      <c r="V222" s="7"/>
      <c r="W222" s="7"/>
      <c r="X222" s="7"/>
      <c r="Y222" s="7"/>
      <c r="Z222" s="7"/>
      <c r="AA222" s="7"/>
      <c r="AB222" s="7"/>
      <c r="AC222" s="7"/>
      <c r="AD222" s="7"/>
      <c r="AE222" s="7"/>
      <c r="AF222" s="7"/>
      <c r="AG222" s="7"/>
      <c r="AH222" s="1"/>
      <c r="AI222" s="1"/>
      <c r="AJ222" s="1"/>
    </row>
    <row r="223" spans="3:36" ht="14.25" customHeight="1" x14ac:dyDescent="0.4">
      <c r="C223" s="1"/>
      <c r="E223" s="2"/>
      <c r="F223" s="3"/>
      <c r="G223" s="4"/>
      <c r="H223" s="5"/>
      <c r="I223" s="6"/>
      <c r="J223" s="6"/>
      <c r="K223" s="7"/>
      <c r="L223" s="5"/>
      <c r="M223" s="7"/>
      <c r="N223" s="7"/>
      <c r="O223" s="7"/>
      <c r="P223" s="5"/>
      <c r="Q223" s="7"/>
      <c r="R223" s="7"/>
      <c r="S223" s="7"/>
      <c r="T223" s="7"/>
      <c r="U223" s="7"/>
      <c r="V223" s="7"/>
      <c r="W223" s="7"/>
      <c r="X223" s="7"/>
      <c r="Y223" s="7"/>
      <c r="Z223" s="7"/>
      <c r="AA223" s="7"/>
      <c r="AB223" s="7"/>
      <c r="AC223" s="7"/>
      <c r="AD223" s="7"/>
      <c r="AE223" s="7"/>
      <c r="AF223" s="7"/>
      <c r="AG223" s="7"/>
      <c r="AH223" s="1"/>
      <c r="AI223" s="1"/>
      <c r="AJ223" s="1"/>
    </row>
    <row r="224" spans="3:36" ht="14.25" customHeight="1" x14ac:dyDescent="0.4">
      <c r="C224" s="1"/>
      <c r="E224" s="2"/>
      <c r="F224" s="3"/>
      <c r="G224" s="4"/>
      <c r="H224" s="5"/>
      <c r="I224" s="6"/>
      <c r="J224" s="6"/>
      <c r="K224" s="7"/>
      <c r="L224" s="5"/>
      <c r="M224" s="7"/>
      <c r="N224" s="7"/>
      <c r="O224" s="7"/>
      <c r="P224" s="5"/>
      <c r="Q224" s="7"/>
      <c r="R224" s="7"/>
      <c r="S224" s="7"/>
      <c r="T224" s="7"/>
      <c r="U224" s="7"/>
      <c r="V224" s="7"/>
      <c r="W224" s="7"/>
      <c r="X224" s="7"/>
      <c r="Y224" s="7"/>
      <c r="Z224" s="7"/>
      <c r="AA224" s="7"/>
      <c r="AB224" s="7"/>
      <c r="AC224" s="7"/>
      <c r="AD224" s="7"/>
      <c r="AE224" s="7"/>
      <c r="AF224" s="7"/>
      <c r="AG224" s="7"/>
      <c r="AH224" s="1"/>
      <c r="AI224" s="1"/>
      <c r="AJ224" s="1"/>
    </row>
    <row r="225" spans="3:36" ht="14.25" customHeight="1" x14ac:dyDescent="0.4">
      <c r="C225" s="1"/>
      <c r="E225" s="2"/>
      <c r="F225" s="3"/>
      <c r="G225" s="4"/>
      <c r="H225" s="5"/>
      <c r="I225" s="6"/>
      <c r="J225" s="6"/>
      <c r="K225" s="7"/>
      <c r="L225" s="5"/>
      <c r="M225" s="7"/>
      <c r="N225" s="7"/>
      <c r="O225" s="7"/>
      <c r="P225" s="5"/>
      <c r="Q225" s="7"/>
      <c r="R225" s="7"/>
      <c r="S225" s="7"/>
      <c r="T225" s="7"/>
      <c r="U225" s="7"/>
      <c r="V225" s="7"/>
      <c r="W225" s="7"/>
      <c r="X225" s="7"/>
      <c r="Y225" s="7"/>
      <c r="Z225" s="7"/>
      <c r="AA225" s="7"/>
      <c r="AB225" s="7"/>
      <c r="AC225" s="7"/>
      <c r="AD225" s="7"/>
      <c r="AE225" s="7"/>
      <c r="AF225" s="7"/>
      <c r="AG225" s="7"/>
      <c r="AH225" s="1"/>
      <c r="AI225" s="1"/>
      <c r="AJ225" s="1"/>
    </row>
    <row r="226" spans="3:36" ht="14.25" customHeight="1" x14ac:dyDescent="0.4">
      <c r="C226" s="1"/>
      <c r="E226" s="2"/>
      <c r="F226" s="3"/>
      <c r="G226" s="4"/>
      <c r="H226" s="5"/>
      <c r="I226" s="6"/>
      <c r="J226" s="6"/>
      <c r="K226" s="7"/>
      <c r="L226" s="5"/>
      <c r="M226" s="7"/>
      <c r="N226" s="7"/>
      <c r="O226" s="7"/>
      <c r="P226" s="5"/>
      <c r="Q226" s="7"/>
      <c r="R226" s="7"/>
      <c r="S226" s="7"/>
      <c r="T226" s="7"/>
      <c r="U226" s="7"/>
      <c r="V226" s="7"/>
      <c r="W226" s="7"/>
      <c r="X226" s="7"/>
      <c r="Y226" s="7"/>
      <c r="Z226" s="7"/>
      <c r="AA226" s="7"/>
      <c r="AB226" s="7"/>
      <c r="AC226" s="7"/>
      <c r="AD226" s="7"/>
      <c r="AE226" s="7"/>
      <c r="AF226" s="7"/>
      <c r="AG226" s="7"/>
      <c r="AH226" s="1"/>
      <c r="AI226" s="1"/>
      <c r="AJ226" s="1"/>
    </row>
    <row r="227" spans="3:36" ht="14.25" customHeight="1" x14ac:dyDescent="0.4">
      <c r="C227" s="1"/>
      <c r="E227" s="2"/>
      <c r="F227" s="3"/>
      <c r="G227" s="4"/>
      <c r="H227" s="5"/>
      <c r="I227" s="6"/>
      <c r="J227" s="6"/>
      <c r="K227" s="7"/>
      <c r="L227" s="5"/>
      <c r="M227" s="7"/>
      <c r="N227" s="7"/>
      <c r="O227" s="7"/>
      <c r="P227" s="5"/>
      <c r="Q227" s="7"/>
      <c r="R227" s="7"/>
      <c r="S227" s="7"/>
      <c r="T227" s="7"/>
      <c r="U227" s="7"/>
      <c r="V227" s="7"/>
      <c r="W227" s="7"/>
      <c r="X227" s="7"/>
      <c r="Y227" s="7"/>
      <c r="Z227" s="7"/>
      <c r="AA227" s="7"/>
      <c r="AB227" s="7"/>
      <c r="AC227" s="7"/>
      <c r="AD227" s="7"/>
      <c r="AE227" s="7"/>
      <c r="AF227" s="7"/>
      <c r="AG227" s="7"/>
      <c r="AH227" s="1"/>
      <c r="AI227" s="1"/>
      <c r="AJ227" s="1"/>
    </row>
    <row r="228" spans="3:36" ht="14.25" customHeight="1" x14ac:dyDescent="0.4">
      <c r="C228" s="1"/>
      <c r="E228" s="2"/>
      <c r="F228" s="3"/>
      <c r="G228" s="4"/>
      <c r="H228" s="5"/>
      <c r="I228" s="6"/>
      <c r="J228" s="6"/>
      <c r="K228" s="7"/>
      <c r="L228" s="5"/>
      <c r="M228" s="7"/>
      <c r="N228" s="7"/>
      <c r="O228" s="7"/>
      <c r="P228" s="5"/>
      <c r="Q228" s="7"/>
      <c r="R228" s="7"/>
      <c r="S228" s="7"/>
      <c r="T228" s="7"/>
      <c r="U228" s="7"/>
      <c r="V228" s="7"/>
      <c r="W228" s="7"/>
      <c r="X228" s="7"/>
      <c r="Y228" s="7"/>
      <c r="Z228" s="7"/>
      <c r="AA228" s="7"/>
      <c r="AB228" s="7"/>
      <c r="AC228" s="7"/>
      <c r="AD228" s="7"/>
      <c r="AE228" s="7"/>
      <c r="AF228" s="7"/>
      <c r="AG228" s="7"/>
      <c r="AH228" s="1"/>
      <c r="AI228" s="1"/>
      <c r="AJ228" s="1"/>
    </row>
    <row r="229" spans="3:36" ht="14.25" customHeight="1" x14ac:dyDescent="0.4">
      <c r="C229" s="1"/>
      <c r="E229" s="2"/>
      <c r="F229" s="3"/>
      <c r="G229" s="4"/>
      <c r="H229" s="5"/>
      <c r="I229" s="6"/>
      <c r="J229" s="6"/>
      <c r="K229" s="7"/>
      <c r="L229" s="5"/>
      <c r="M229" s="7"/>
      <c r="N229" s="7"/>
      <c r="O229" s="7"/>
      <c r="P229" s="5"/>
      <c r="Q229" s="7"/>
      <c r="R229" s="7"/>
      <c r="S229" s="7"/>
      <c r="T229" s="7"/>
      <c r="U229" s="7"/>
      <c r="V229" s="7"/>
      <c r="W229" s="7"/>
      <c r="X229" s="7"/>
      <c r="Y229" s="7"/>
      <c r="Z229" s="7"/>
      <c r="AA229" s="7"/>
      <c r="AB229" s="7"/>
      <c r="AC229" s="7"/>
      <c r="AD229" s="7"/>
      <c r="AE229" s="7"/>
      <c r="AF229" s="7"/>
      <c r="AG229" s="7"/>
      <c r="AH229" s="1"/>
      <c r="AI229" s="1"/>
      <c r="AJ229" s="1"/>
    </row>
    <row r="230" spans="3:36" ht="14.25" customHeight="1" x14ac:dyDescent="0.4">
      <c r="C230" s="1"/>
      <c r="E230" s="2"/>
      <c r="F230" s="3"/>
      <c r="G230" s="4"/>
      <c r="H230" s="5"/>
      <c r="I230" s="6"/>
      <c r="J230" s="6"/>
      <c r="K230" s="7"/>
      <c r="L230" s="5"/>
      <c r="M230" s="7"/>
      <c r="N230" s="7"/>
      <c r="O230" s="7"/>
      <c r="P230" s="5"/>
      <c r="Q230" s="7"/>
      <c r="R230" s="7"/>
      <c r="S230" s="7"/>
      <c r="T230" s="7"/>
      <c r="U230" s="7"/>
      <c r="V230" s="7"/>
      <c r="W230" s="7"/>
      <c r="X230" s="7"/>
      <c r="Y230" s="7"/>
      <c r="Z230" s="7"/>
      <c r="AA230" s="7"/>
      <c r="AB230" s="7"/>
      <c r="AC230" s="7"/>
      <c r="AD230" s="7"/>
      <c r="AE230" s="7"/>
      <c r="AF230" s="7"/>
      <c r="AG230" s="7"/>
      <c r="AH230" s="1"/>
      <c r="AI230" s="1"/>
      <c r="AJ230" s="1"/>
    </row>
    <row r="231" spans="3:36" ht="14.25" customHeight="1" x14ac:dyDescent="0.4">
      <c r="C231" s="1"/>
      <c r="E231" s="2"/>
      <c r="F231" s="3"/>
      <c r="G231" s="4"/>
      <c r="H231" s="5"/>
      <c r="I231" s="6"/>
      <c r="J231" s="6"/>
      <c r="K231" s="7"/>
      <c r="L231" s="5"/>
      <c r="M231" s="7"/>
      <c r="N231" s="7"/>
      <c r="O231" s="7"/>
      <c r="P231" s="5"/>
      <c r="Q231" s="7"/>
      <c r="R231" s="7"/>
      <c r="S231" s="7"/>
      <c r="T231" s="7"/>
      <c r="U231" s="7"/>
      <c r="V231" s="7"/>
      <c r="W231" s="7"/>
      <c r="X231" s="7"/>
      <c r="Y231" s="7"/>
      <c r="Z231" s="7"/>
      <c r="AA231" s="7"/>
      <c r="AB231" s="7"/>
      <c r="AC231" s="7"/>
      <c r="AD231" s="7"/>
      <c r="AE231" s="7"/>
      <c r="AF231" s="7"/>
      <c r="AG231" s="7"/>
      <c r="AH231" s="1"/>
      <c r="AI231" s="1"/>
      <c r="AJ231" s="1"/>
    </row>
    <row r="232" spans="3:36" ht="14.25" customHeight="1" x14ac:dyDescent="0.4">
      <c r="C232" s="1"/>
      <c r="E232" s="2"/>
      <c r="F232" s="3"/>
      <c r="G232" s="4"/>
      <c r="H232" s="5"/>
      <c r="I232" s="6"/>
      <c r="J232" s="6"/>
      <c r="K232" s="7"/>
      <c r="L232" s="5"/>
      <c r="M232" s="7"/>
      <c r="N232" s="7"/>
      <c r="O232" s="7"/>
      <c r="P232" s="5"/>
      <c r="Q232" s="7"/>
      <c r="R232" s="7"/>
      <c r="S232" s="7"/>
      <c r="T232" s="7"/>
      <c r="U232" s="7"/>
      <c r="V232" s="7"/>
      <c r="W232" s="7"/>
      <c r="X232" s="7"/>
      <c r="Y232" s="7"/>
      <c r="Z232" s="7"/>
      <c r="AA232" s="7"/>
      <c r="AB232" s="7"/>
      <c r="AC232" s="7"/>
      <c r="AD232" s="7"/>
      <c r="AE232" s="7"/>
      <c r="AF232" s="7"/>
      <c r="AG232" s="7"/>
      <c r="AH232" s="1"/>
      <c r="AI232" s="1"/>
      <c r="AJ232" s="1"/>
    </row>
    <row r="233" spans="3:36" ht="14.25" customHeight="1" x14ac:dyDescent="0.4">
      <c r="C233" s="1"/>
      <c r="E233" s="2"/>
      <c r="F233" s="3"/>
      <c r="G233" s="4"/>
      <c r="H233" s="5"/>
      <c r="I233" s="6"/>
      <c r="J233" s="6"/>
      <c r="K233" s="7"/>
      <c r="L233" s="5"/>
      <c r="M233" s="7"/>
      <c r="N233" s="7"/>
      <c r="O233" s="7"/>
      <c r="P233" s="5"/>
      <c r="Q233" s="7"/>
      <c r="R233" s="7"/>
      <c r="S233" s="7"/>
      <c r="T233" s="7"/>
      <c r="U233" s="7"/>
      <c r="V233" s="7"/>
      <c r="W233" s="7"/>
      <c r="X233" s="7"/>
      <c r="Y233" s="7"/>
      <c r="Z233" s="7"/>
      <c r="AA233" s="7"/>
      <c r="AB233" s="7"/>
      <c r="AC233" s="7"/>
      <c r="AD233" s="7"/>
      <c r="AE233" s="7"/>
      <c r="AF233" s="7"/>
      <c r="AG233" s="7"/>
      <c r="AH233" s="1"/>
      <c r="AI233" s="1"/>
      <c r="AJ233" s="1"/>
    </row>
    <row r="234" spans="3:36" ht="14.25" customHeight="1" x14ac:dyDescent="0.4">
      <c r="C234" s="1"/>
      <c r="E234" s="2"/>
      <c r="F234" s="3"/>
      <c r="G234" s="4"/>
      <c r="H234" s="5"/>
      <c r="I234" s="6"/>
      <c r="J234" s="6"/>
      <c r="K234" s="7"/>
      <c r="L234" s="5"/>
      <c r="M234" s="7"/>
      <c r="N234" s="7"/>
      <c r="O234" s="7"/>
      <c r="P234" s="5"/>
      <c r="Q234" s="7"/>
      <c r="R234" s="7"/>
      <c r="S234" s="7"/>
      <c r="T234" s="7"/>
      <c r="U234" s="7"/>
      <c r="V234" s="7"/>
      <c r="W234" s="7"/>
      <c r="X234" s="7"/>
      <c r="Y234" s="7"/>
      <c r="Z234" s="7"/>
      <c r="AA234" s="7"/>
      <c r="AB234" s="7"/>
      <c r="AC234" s="7"/>
      <c r="AD234" s="7"/>
      <c r="AE234" s="7"/>
      <c r="AF234" s="7"/>
      <c r="AG234" s="7"/>
      <c r="AH234" s="1"/>
      <c r="AI234" s="1"/>
      <c r="AJ234" s="1"/>
    </row>
    <row r="235" spans="3:36" ht="14.25" customHeight="1" x14ac:dyDescent="0.4">
      <c r="C235" s="1"/>
      <c r="E235" s="2"/>
      <c r="F235" s="3"/>
      <c r="G235" s="4"/>
      <c r="H235" s="5"/>
      <c r="I235" s="6"/>
      <c r="J235" s="6"/>
      <c r="K235" s="7"/>
      <c r="L235" s="5"/>
      <c r="M235" s="7"/>
      <c r="N235" s="7"/>
      <c r="O235" s="7"/>
      <c r="P235" s="5"/>
      <c r="Q235" s="7"/>
      <c r="R235" s="7"/>
      <c r="S235" s="7"/>
      <c r="T235" s="7"/>
      <c r="U235" s="7"/>
      <c r="V235" s="7"/>
      <c r="W235" s="7"/>
      <c r="X235" s="7"/>
      <c r="Y235" s="7"/>
      <c r="Z235" s="7"/>
      <c r="AA235" s="7"/>
      <c r="AB235" s="7"/>
      <c r="AC235" s="7"/>
      <c r="AD235" s="7"/>
      <c r="AE235" s="7"/>
      <c r="AF235" s="7"/>
      <c r="AG235" s="7"/>
      <c r="AH235" s="1"/>
      <c r="AI235" s="1"/>
      <c r="AJ235" s="1"/>
    </row>
    <row r="236" spans="3:36" ht="14.25" customHeight="1" x14ac:dyDescent="0.4">
      <c r="C236" s="1"/>
      <c r="E236" s="2"/>
      <c r="F236" s="3"/>
      <c r="G236" s="4"/>
      <c r="H236" s="5"/>
      <c r="I236" s="6"/>
      <c r="J236" s="6"/>
      <c r="K236" s="7"/>
      <c r="L236" s="5"/>
      <c r="M236" s="7"/>
      <c r="N236" s="7"/>
      <c r="O236" s="7"/>
      <c r="P236" s="5"/>
      <c r="Q236" s="7"/>
      <c r="R236" s="7"/>
      <c r="S236" s="7"/>
      <c r="T236" s="7"/>
      <c r="U236" s="7"/>
      <c r="V236" s="7"/>
      <c r="W236" s="7"/>
      <c r="X236" s="7"/>
      <c r="Y236" s="7"/>
      <c r="Z236" s="7"/>
      <c r="AA236" s="7"/>
      <c r="AB236" s="7"/>
      <c r="AC236" s="7"/>
      <c r="AD236" s="7"/>
      <c r="AE236" s="7"/>
      <c r="AF236" s="7"/>
      <c r="AG236" s="7"/>
      <c r="AH236" s="1"/>
      <c r="AI236" s="1"/>
      <c r="AJ236" s="1"/>
    </row>
    <row r="237" spans="3:36" ht="14.25" customHeight="1" x14ac:dyDescent="0.4">
      <c r="C237" s="1"/>
      <c r="E237" s="2"/>
      <c r="F237" s="3"/>
      <c r="G237" s="4"/>
      <c r="H237" s="5"/>
      <c r="I237" s="6"/>
      <c r="J237" s="6"/>
      <c r="K237" s="7"/>
      <c r="L237" s="5"/>
      <c r="M237" s="7"/>
      <c r="N237" s="7"/>
      <c r="O237" s="7"/>
      <c r="P237" s="5"/>
      <c r="Q237" s="7"/>
      <c r="R237" s="7"/>
      <c r="S237" s="7"/>
      <c r="T237" s="7"/>
      <c r="U237" s="7"/>
      <c r="V237" s="7"/>
      <c r="W237" s="7"/>
      <c r="X237" s="7"/>
      <c r="Y237" s="7"/>
      <c r="Z237" s="7"/>
      <c r="AA237" s="7"/>
      <c r="AB237" s="7"/>
      <c r="AC237" s="7"/>
      <c r="AD237" s="7"/>
      <c r="AE237" s="7"/>
      <c r="AF237" s="7"/>
      <c r="AG237" s="7"/>
      <c r="AH237" s="1"/>
      <c r="AI237" s="1"/>
      <c r="AJ237" s="1"/>
    </row>
    <row r="238" spans="3:36" ht="14.25" customHeight="1" x14ac:dyDescent="0.4">
      <c r="C238" s="1"/>
      <c r="E238" s="2"/>
      <c r="F238" s="3"/>
      <c r="G238" s="4"/>
      <c r="H238" s="5"/>
      <c r="I238" s="6"/>
      <c r="J238" s="6"/>
      <c r="K238" s="7"/>
      <c r="L238" s="5"/>
      <c r="M238" s="7"/>
      <c r="N238" s="7"/>
      <c r="O238" s="7"/>
      <c r="P238" s="5"/>
      <c r="Q238" s="7"/>
      <c r="R238" s="7"/>
      <c r="S238" s="7"/>
      <c r="T238" s="7"/>
      <c r="U238" s="7"/>
      <c r="V238" s="7"/>
      <c r="W238" s="7"/>
      <c r="X238" s="7"/>
      <c r="Y238" s="7"/>
      <c r="Z238" s="7"/>
      <c r="AA238" s="7"/>
      <c r="AB238" s="7"/>
      <c r="AC238" s="7"/>
      <c r="AD238" s="7"/>
      <c r="AE238" s="7"/>
      <c r="AF238" s="7"/>
      <c r="AG238" s="7"/>
      <c r="AH238" s="1"/>
      <c r="AI238" s="1"/>
      <c r="AJ238" s="1"/>
    </row>
    <row r="239" spans="3:36" ht="14.25" customHeight="1" x14ac:dyDescent="0.4">
      <c r="C239" s="1"/>
      <c r="E239" s="2"/>
      <c r="F239" s="3"/>
      <c r="G239" s="4"/>
      <c r="H239" s="5"/>
      <c r="I239" s="6"/>
      <c r="J239" s="6"/>
      <c r="K239" s="7"/>
      <c r="L239" s="5"/>
      <c r="M239" s="7"/>
      <c r="N239" s="7"/>
      <c r="O239" s="7"/>
      <c r="P239" s="5"/>
      <c r="Q239" s="7"/>
      <c r="R239" s="7"/>
      <c r="S239" s="7"/>
      <c r="T239" s="7"/>
      <c r="U239" s="7"/>
      <c r="V239" s="7"/>
      <c r="W239" s="7"/>
      <c r="X239" s="7"/>
      <c r="Y239" s="7"/>
      <c r="Z239" s="7"/>
      <c r="AA239" s="7"/>
      <c r="AB239" s="7"/>
      <c r="AC239" s="7"/>
      <c r="AD239" s="7"/>
      <c r="AE239" s="7"/>
      <c r="AF239" s="7"/>
      <c r="AG239" s="7"/>
      <c r="AH239" s="1"/>
      <c r="AI239" s="1"/>
      <c r="AJ239" s="1"/>
    </row>
    <row r="240" spans="3:36" ht="14.25" customHeight="1" x14ac:dyDescent="0.4">
      <c r="C240" s="1"/>
      <c r="E240" s="2"/>
      <c r="F240" s="3"/>
      <c r="G240" s="4"/>
      <c r="H240" s="5"/>
      <c r="I240" s="6"/>
      <c r="J240" s="6"/>
      <c r="K240" s="7"/>
      <c r="L240" s="5"/>
      <c r="M240" s="7"/>
      <c r="N240" s="7"/>
      <c r="O240" s="7"/>
      <c r="P240" s="5"/>
      <c r="Q240" s="7"/>
      <c r="R240" s="7"/>
      <c r="S240" s="7"/>
      <c r="T240" s="7"/>
      <c r="U240" s="7"/>
      <c r="V240" s="7"/>
      <c r="W240" s="7"/>
      <c r="X240" s="7"/>
      <c r="Y240" s="7"/>
      <c r="Z240" s="7"/>
      <c r="AA240" s="7"/>
      <c r="AB240" s="7"/>
      <c r="AC240" s="7"/>
      <c r="AD240" s="7"/>
      <c r="AE240" s="7"/>
      <c r="AF240" s="7"/>
      <c r="AG240" s="7"/>
      <c r="AH240" s="1"/>
      <c r="AI240" s="1"/>
      <c r="AJ240" s="1"/>
    </row>
    <row r="241" spans="3:36" ht="14.25" customHeight="1" x14ac:dyDescent="0.4">
      <c r="C241" s="1"/>
      <c r="E241" s="2"/>
      <c r="F241" s="3"/>
      <c r="G241" s="4"/>
      <c r="H241" s="5"/>
      <c r="I241" s="6"/>
      <c r="J241" s="6"/>
      <c r="K241" s="7"/>
      <c r="L241" s="5"/>
      <c r="M241" s="7"/>
      <c r="N241" s="7"/>
      <c r="O241" s="7"/>
      <c r="P241" s="5"/>
      <c r="Q241" s="7"/>
      <c r="R241" s="7"/>
      <c r="S241" s="7"/>
      <c r="T241" s="7"/>
      <c r="U241" s="7"/>
      <c r="V241" s="7"/>
      <c r="W241" s="7"/>
      <c r="X241" s="7"/>
      <c r="Y241" s="7"/>
      <c r="Z241" s="7"/>
      <c r="AA241" s="7"/>
      <c r="AB241" s="7"/>
      <c r="AC241" s="7"/>
      <c r="AD241" s="7"/>
      <c r="AE241" s="7"/>
      <c r="AF241" s="7"/>
      <c r="AG241" s="7"/>
      <c r="AH241" s="1"/>
      <c r="AI241" s="1"/>
      <c r="AJ241" s="1"/>
    </row>
    <row r="242" spans="3:36" ht="14.25" customHeight="1" x14ac:dyDescent="0.4">
      <c r="C242" s="1"/>
      <c r="E242" s="2"/>
      <c r="F242" s="3"/>
      <c r="G242" s="4"/>
      <c r="H242" s="5"/>
      <c r="I242" s="6"/>
      <c r="J242" s="6"/>
      <c r="K242" s="7"/>
      <c r="L242" s="5"/>
      <c r="M242" s="7"/>
      <c r="N242" s="7"/>
      <c r="O242" s="7"/>
      <c r="P242" s="5"/>
      <c r="Q242" s="7"/>
      <c r="R242" s="7"/>
      <c r="S242" s="7"/>
      <c r="T242" s="7"/>
      <c r="U242" s="7"/>
      <c r="V242" s="7"/>
      <c r="W242" s="7"/>
      <c r="X242" s="7"/>
      <c r="Y242" s="7"/>
      <c r="Z242" s="7"/>
      <c r="AA242" s="7"/>
      <c r="AB242" s="7"/>
      <c r="AC242" s="7"/>
      <c r="AD242" s="7"/>
      <c r="AE242" s="7"/>
      <c r="AF242" s="7"/>
      <c r="AG242" s="7"/>
      <c r="AH242" s="1"/>
      <c r="AI242" s="1"/>
      <c r="AJ242" s="1"/>
    </row>
    <row r="243" spans="3:36" ht="14.25" customHeight="1" x14ac:dyDescent="0.4">
      <c r="C243" s="1"/>
      <c r="E243" s="2"/>
      <c r="F243" s="3"/>
      <c r="G243" s="4"/>
      <c r="H243" s="5"/>
      <c r="I243" s="6"/>
      <c r="J243" s="6"/>
      <c r="K243" s="7"/>
      <c r="L243" s="5"/>
      <c r="M243" s="7"/>
      <c r="N243" s="7"/>
      <c r="O243" s="7"/>
      <c r="P243" s="5"/>
      <c r="Q243" s="7"/>
      <c r="R243" s="7"/>
      <c r="S243" s="7"/>
      <c r="T243" s="7"/>
      <c r="U243" s="7"/>
      <c r="V243" s="7"/>
      <c r="W243" s="7"/>
      <c r="X243" s="7"/>
      <c r="Y243" s="7"/>
      <c r="Z243" s="7"/>
      <c r="AA243" s="7"/>
      <c r="AB243" s="7"/>
      <c r="AC243" s="7"/>
      <c r="AD243" s="7"/>
      <c r="AE243" s="7"/>
      <c r="AF243" s="7"/>
      <c r="AG243" s="7"/>
      <c r="AH243" s="1"/>
      <c r="AI243" s="1"/>
      <c r="AJ243" s="1"/>
    </row>
    <row r="244" spans="3:36" ht="14.25" customHeight="1" x14ac:dyDescent="0.4">
      <c r="C244" s="1"/>
      <c r="E244" s="2"/>
      <c r="F244" s="3"/>
      <c r="G244" s="4"/>
      <c r="H244" s="5"/>
      <c r="I244" s="6"/>
      <c r="J244" s="6"/>
      <c r="K244" s="7"/>
      <c r="L244" s="5"/>
      <c r="M244" s="7"/>
      <c r="N244" s="7"/>
      <c r="O244" s="7"/>
      <c r="P244" s="5"/>
      <c r="Q244" s="7"/>
      <c r="R244" s="7"/>
      <c r="S244" s="7"/>
      <c r="T244" s="7"/>
      <c r="U244" s="7"/>
      <c r="V244" s="7"/>
      <c r="W244" s="7"/>
      <c r="X244" s="7"/>
      <c r="Y244" s="7"/>
      <c r="Z244" s="7"/>
      <c r="AA244" s="7"/>
      <c r="AB244" s="7"/>
      <c r="AC244" s="7"/>
      <c r="AD244" s="7"/>
      <c r="AE244" s="7"/>
      <c r="AF244" s="7"/>
      <c r="AG244" s="7"/>
      <c r="AH244" s="1"/>
      <c r="AI244" s="1"/>
      <c r="AJ244" s="1"/>
    </row>
    <row r="245" spans="3:36" ht="14.25" customHeight="1" x14ac:dyDescent="0.4">
      <c r="C245" s="1"/>
      <c r="E245" s="2"/>
      <c r="F245" s="3"/>
      <c r="G245" s="4"/>
      <c r="H245" s="5"/>
      <c r="I245" s="6"/>
      <c r="J245" s="6"/>
      <c r="K245" s="7"/>
      <c r="L245" s="5"/>
      <c r="M245" s="7"/>
      <c r="N245" s="7"/>
      <c r="O245" s="7"/>
      <c r="P245" s="5"/>
      <c r="Q245" s="7"/>
      <c r="R245" s="7"/>
      <c r="S245" s="7"/>
      <c r="T245" s="7"/>
      <c r="U245" s="7"/>
      <c r="V245" s="7"/>
      <c r="W245" s="7"/>
      <c r="X245" s="7"/>
      <c r="Y245" s="7"/>
      <c r="Z245" s="7"/>
      <c r="AA245" s="7"/>
      <c r="AB245" s="7"/>
      <c r="AC245" s="7"/>
      <c r="AD245" s="7"/>
      <c r="AE245" s="7"/>
      <c r="AF245" s="7"/>
      <c r="AG245" s="7"/>
      <c r="AH245" s="1"/>
      <c r="AI245" s="1"/>
      <c r="AJ245" s="1"/>
    </row>
    <row r="246" spans="3:36" ht="14.25" customHeight="1" x14ac:dyDescent="0.4">
      <c r="C246" s="1"/>
      <c r="E246" s="2"/>
      <c r="F246" s="3"/>
      <c r="G246" s="4"/>
      <c r="H246" s="5"/>
      <c r="I246" s="6"/>
      <c r="J246" s="6"/>
      <c r="K246" s="7"/>
      <c r="L246" s="5"/>
      <c r="M246" s="7"/>
      <c r="N246" s="7"/>
      <c r="O246" s="7"/>
      <c r="P246" s="5"/>
      <c r="Q246" s="7"/>
      <c r="R246" s="7"/>
      <c r="S246" s="7"/>
      <c r="T246" s="7"/>
      <c r="U246" s="7"/>
      <c r="V246" s="7"/>
      <c r="W246" s="7"/>
      <c r="X246" s="7"/>
      <c r="Y246" s="7"/>
      <c r="Z246" s="7"/>
      <c r="AA246" s="7"/>
      <c r="AB246" s="7"/>
      <c r="AC246" s="7"/>
      <c r="AD246" s="7"/>
      <c r="AE246" s="7"/>
      <c r="AF246" s="7"/>
      <c r="AG246" s="7"/>
      <c r="AH246" s="1"/>
      <c r="AI246" s="1"/>
      <c r="AJ246" s="1"/>
    </row>
    <row r="247" spans="3:36" ht="14.25" customHeight="1" x14ac:dyDescent="0.4">
      <c r="C247" s="1"/>
      <c r="E247" s="2"/>
      <c r="F247" s="3"/>
      <c r="G247" s="4"/>
      <c r="H247" s="5"/>
      <c r="I247" s="6"/>
      <c r="J247" s="6"/>
      <c r="K247" s="7"/>
      <c r="L247" s="5"/>
      <c r="M247" s="7"/>
      <c r="N247" s="7"/>
      <c r="O247" s="7"/>
      <c r="P247" s="5"/>
      <c r="Q247" s="7"/>
      <c r="R247" s="7"/>
      <c r="S247" s="7"/>
      <c r="T247" s="7"/>
      <c r="U247" s="7"/>
      <c r="V247" s="7"/>
      <c r="W247" s="7"/>
      <c r="X247" s="7"/>
      <c r="Y247" s="7"/>
      <c r="Z247" s="7"/>
      <c r="AA247" s="7"/>
      <c r="AB247" s="7"/>
      <c r="AC247" s="7"/>
      <c r="AD247" s="7"/>
      <c r="AE247" s="7"/>
      <c r="AF247" s="7"/>
      <c r="AG247" s="7"/>
      <c r="AH247" s="1"/>
      <c r="AI247" s="1"/>
      <c r="AJ247" s="1"/>
    </row>
    <row r="248" spans="3:36" ht="14.25" customHeight="1" x14ac:dyDescent="0.4">
      <c r="C248" s="1"/>
      <c r="E248" s="2"/>
      <c r="F248" s="3"/>
      <c r="G248" s="4"/>
      <c r="H248" s="5"/>
      <c r="I248" s="6"/>
      <c r="J248" s="6"/>
      <c r="K248" s="7"/>
      <c r="L248" s="5"/>
      <c r="M248" s="7"/>
      <c r="N248" s="7"/>
      <c r="O248" s="7"/>
      <c r="P248" s="5"/>
      <c r="Q248" s="7"/>
      <c r="R248" s="7"/>
      <c r="S248" s="7"/>
      <c r="T248" s="7"/>
      <c r="U248" s="7"/>
      <c r="V248" s="7"/>
      <c r="W248" s="7"/>
      <c r="X248" s="7"/>
      <c r="Y248" s="7"/>
      <c r="Z248" s="7"/>
      <c r="AA248" s="7"/>
      <c r="AB248" s="7"/>
      <c r="AC248" s="7"/>
      <c r="AD248" s="7"/>
      <c r="AE248" s="7"/>
      <c r="AF248" s="7"/>
      <c r="AG248" s="7"/>
      <c r="AH248" s="1"/>
      <c r="AI248" s="1"/>
      <c r="AJ248" s="1"/>
    </row>
    <row r="249" spans="3:36" ht="14.25" customHeight="1" x14ac:dyDescent="0.4">
      <c r="C249" s="1"/>
      <c r="E249" s="2"/>
      <c r="F249" s="3"/>
      <c r="G249" s="4"/>
      <c r="H249" s="5"/>
      <c r="I249" s="6"/>
      <c r="J249" s="6"/>
      <c r="K249" s="7"/>
      <c r="L249" s="5"/>
      <c r="M249" s="7"/>
      <c r="N249" s="7"/>
      <c r="O249" s="7"/>
      <c r="P249" s="5"/>
      <c r="Q249" s="7"/>
      <c r="R249" s="7"/>
      <c r="S249" s="7"/>
      <c r="T249" s="7"/>
      <c r="U249" s="7"/>
      <c r="V249" s="7"/>
      <c r="W249" s="7"/>
      <c r="X249" s="7"/>
      <c r="Y249" s="7"/>
      <c r="Z249" s="7"/>
      <c r="AA249" s="7"/>
      <c r="AB249" s="7"/>
      <c r="AC249" s="7"/>
      <c r="AD249" s="7"/>
      <c r="AE249" s="7"/>
      <c r="AF249" s="7"/>
      <c r="AG249" s="7"/>
      <c r="AH249" s="1"/>
      <c r="AI249" s="1"/>
      <c r="AJ249" s="1"/>
    </row>
    <row r="250" spans="3:36" ht="14.25" customHeight="1" x14ac:dyDescent="0.4">
      <c r="C250" s="1"/>
      <c r="E250" s="2"/>
      <c r="F250" s="3"/>
      <c r="G250" s="4"/>
      <c r="H250" s="5"/>
      <c r="I250" s="6"/>
      <c r="J250" s="6"/>
      <c r="K250" s="7"/>
      <c r="L250" s="5"/>
      <c r="M250" s="7"/>
      <c r="N250" s="7"/>
      <c r="O250" s="7"/>
      <c r="P250" s="5"/>
      <c r="Q250" s="7"/>
      <c r="R250" s="7"/>
      <c r="S250" s="7"/>
      <c r="T250" s="7"/>
      <c r="U250" s="7"/>
      <c r="V250" s="7"/>
      <c r="W250" s="7"/>
      <c r="X250" s="7"/>
      <c r="Y250" s="7"/>
      <c r="Z250" s="7"/>
      <c r="AA250" s="7"/>
      <c r="AB250" s="7"/>
      <c r="AC250" s="7"/>
      <c r="AD250" s="7"/>
      <c r="AE250" s="7"/>
      <c r="AF250" s="7"/>
      <c r="AG250" s="7"/>
      <c r="AH250" s="1"/>
      <c r="AI250" s="1"/>
      <c r="AJ250" s="1"/>
    </row>
    <row r="251" spans="3:36" ht="14.25" customHeight="1" x14ac:dyDescent="0.4">
      <c r="C251" s="1"/>
      <c r="E251" s="2"/>
      <c r="F251" s="3"/>
      <c r="G251" s="4"/>
      <c r="H251" s="5"/>
      <c r="I251" s="6"/>
      <c r="J251" s="6"/>
      <c r="K251" s="7"/>
      <c r="L251" s="5"/>
      <c r="M251" s="7"/>
      <c r="N251" s="7"/>
      <c r="O251" s="7"/>
      <c r="P251" s="5"/>
      <c r="Q251" s="7"/>
      <c r="R251" s="7"/>
      <c r="S251" s="7"/>
      <c r="T251" s="7"/>
      <c r="U251" s="7"/>
      <c r="V251" s="7"/>
      <c r="W251" s="7"/>
      <c r="X251" s="7"/>
      <c r="Y251" s="7"/>
      <c r="Z251" s="7"/>
      <c r="AA251" s="7"/>
      <c r="AB251" s="7"/>
      <c r="AC251" s="7"/>
      <c r="AD251" s="7"/>
      <c r="AE251" s="7"/>
      <c r="AF251" s="7"/>
      <c r="AG251" s="7"/>
      <c r="AH251" s="1"/>
      <c r="AI251" s="1"/>
      <c r="AJ251" s="1"/>
    </row>
    <row r="252" spans="3:36" ht="14.25" customHeight="1" x14ac:dyDescent="0.4">
      <c r="C252" s="1"/>
      <c r="E252" s="2"/>
      <c r="F252" s="3"/>
      <c r="G252" s="4"/>
      <c r="H252" s="5"/>
      <c r="I252" s="6"/>
      <c r="J252" s="6"/>
      <c r="K252" s="7"/>
      <c r="L252" s="5"/>
      <c r="M252" s="7"/>
      <c r="N252" s="7"/>
      <c r="O252" s="7"/>
      <c r="P252" s="5"/>
      <c r="Q252" s="7"/>
      <c r="R252" s="7"/>
      <c r="S252" s="7"/>
      <c r="T252" s="7"/>
      <c r="U252" s="7"/>
      <c r="V252" s="7"/>
      <c r="W252" s="7"/>
      <c r="X252" s="7"/>
      <c r="Y252" s="7"/>
      <c r="Z252" s="7"/>
      <c r="AA252" s="7"/>
      <c r="AB252" s="7"/>
      <c r="AC252" s="7"/>
      <c r="AD252" s="7"/>
      <c r="AE252" s="7"/>
      <c r="AF252" s="7"/>
      <c r="AG252" s="7"/>
      <c r="AH252" s="1"/>
      <c r="AI252" s="1"/>
      <c r="AJ252" s="1"/>
    </row>
    <row r="253" spans="3:36" ht="14.25" customHeight="1" x14ac:dyDescent="0.4">
      <c r="C253" s="1"/>
      <c r="E253" s="2"/>
      <c r="F253" s="3"/>
      <c r="G253" s="4"/>
      <c r="H253" s="5"/>
      <c r="I253" s="6"/>
      <c r="J253" s="6"/>
      <c r="K253" s="7"/>
      <c r="L253" s="5"/>
      <c r="M253" s="7"/>
      <c r="N253" s="7"/>
      <c r="O253" s="7"/>
      <c r="P253" s="5"/>
      <c r="Q253" s="7"/>
      <c r="R253" s="7"/>
      <c r="S253" s="7"/>
      <c r="T253" s="7"/>
      <c r="U253" s="7"/>
      <c r="V253" s="7"/>
      <c r="W253" s="7"/>
      <c r="X253" s="7"/>
      <c r="Y253" s="7"/>
      <c r="Z253" s="7"/>
      <c r="AA253" s="7"/>
      <c r="AB253" s="7"/>
      <c r="AC253" s="7"/>
      <c r="AD253" s="7"/>
      <c r="AE253" s="7"/>
      <c r="AF253" s="7"/>
      <c r="AG253" s="7"/>
      <c r="AH253" s="1"/>
      <c r="AI253" s="1"/>
      <c r="AJ253" s="1"/>
    </row>
    <row r="254" spans="3:36" ht="14.25" customHeight="1" x14ac:dyDescent="0.4">
      <c r="C254" s="1"/>
      <c r="E254" s="2"/>
      <c r="F254" s="3"/>
      <c r="G254" s="4"/>
      <c r="H254" s="5"/>
      <c r="I254" s="6"/>
      <c r="J254" s="6"/>
      <c r="K254" s="7"/>
      <c r="L254" s="5"/>
      <c r="M254" s="7"/>
      <c r="N254" s="7"/>
      <c r="O254" s="7"/>
      <c r="P254" s="5"/>
      <c r="Q254" s="7"/>
      <c r="R254" s="7"/>
      <c r="S254" s="7"/>
      <c r="T254" s="7"/>
      <c r="U254" s="7"/>
      <c r="V254" s="7"/>
      <c r="W254" s="7"/>
      <c r="X254" s="7"/>
      <c r="Y254" s="7"/>
      <c r="Z254" s="7"/>
      <c r="AA254" s="7"/>
      <c r="AB254" s="7"/>
      <c r="AC254" s="7"/>
      <c r="AD254" s="7"/>
      <c r="AE254" s="7"/>
      <c r="AF254" s="7"/>
      <c r="AG254" s="7"/>
      <c r="AH254" s="1"/>
      <c r="AI254" s="1"/>
      <c r="AJ254" s="1"/>
    </row>
    <row r="255" spans="3:36" ht="14.25" customHeight="1" x14ac:dyDescent="0.4">
      <c r="C255" s="1"/>
      <c r="E255" s="2"/>
      <c r="F255" s="3"/>
      <c r="G255" s="4"/>
      <c r="H255" s="5"/>
      <c r="I255" s="6"/>
      <c r="J255" s="6"/>
      <c r="K255" s="7"/>
      <c r="L255" s="5"/>
      <c r="M255" s="7"/>
      <c r="N255" s="7"/>
      <c r="O255" s="7"/>
      <c r="P255" s="5"/>
      <c r="Q255" s="7"/>
      <c r="R255" s="7"/>
      <c r="S255" s="7"/>
      <c r="T255" s="7"/>
      <c r="U255" s="7"/>
      <c r="V255" s="7"/>
      <c r="W255" s="7"/>
      <c r="X255" s="7"/>
      <c r="Y255" s="7"/>
      <c r="Z255" s="7"/>
      <c r="AA255" s="7"/>
      <c r="AB255" s="7"/>
      <c r="AC255" s="7"/>
      <c r="AD255" s="7"/>
      <c r="AE255" s="7"/>
      <c r="AF255" s="7"/>
      <c r="AG255" s="7"/>
      <c r="AH255" s="1"/>
      <c r="AI255" s="1"/>
      <c r="AJ255" s="1"/>
    </row>
    <row r="256" spans="3:36" ht="14.25" customHeight="1" x14ac:dyDescent="0.4">
      <c r="C256" s="1"/>
      <c r="E256" s="2"/>
      <c r="F256" s="3"/>
      <c r="G256" s="4"/>
      <c r="H256" s="5"/>
      <c r="I256" s="6"/>
      <c r="J256" s="6"/>
      <c r="K256" s="7"/>
      <c r="L256" s="5"/>
      <c r="M256" s="7"/>
      <c r="N256" s="7"/>
      <c r="O256" s="7"/>
      <c r="P256" s="5"/>
      <c r="Q256" s="7"/>
      <c r="R256" s="7"/>
      <c r="S256" s="7"/>
      <c r="T256" s="7"/>
      <c r="U256" s="7"/>
      <c r="V256" s="7"/>
      <c r="W256" s="7"/>
      <c r="X256" s="7"/>
      <c r="Y256" s="7"/>
      <c r="Z256" s="7"/>
      <c r="AA256" s="7"/>
      <c r="AB256" s="7"/>
      <c r="AC256" s="7"/>
      <c r="AD256" s="7"/>
      <c r="AE256" s="7"/>
      <c r="AF256" s="7"/>
      <c r="AG256" s="7"/>
      <c r="AH256" s="1"/>
      <c r="AI256" s="1"/>
      <c r="AJ256" s="1"/>
    </row>
    <row r="257" spans="3:36" ht="14.25" customHeight="1" x14ac:dyDescent="0.4">
      <c r="C257" s="1"/>
      <c r="E257" s="2"/>
      <c r="F257" s="3"/>
      <c r="G257" s="4"/>
      <c r="H257" s="5"/>
      <c r="I257" s="6"/>
      <c r="J257" s="6"/>
      <c r="K257" s="7"/>
      <c r="L257" s="5"/>
      <c r="M257" s="7"/>
      <c r="N257" s="7"/>
      <c r="O257" s="7"/>
      <c r="P257" s="5"/>
      <c r="Q257" s="7"/>
      <c r="R257" s="7"/>
      <c r="S257" s="7"/>
      <c r="T257" s="7"/>
      <c r="U257" s="7"/>
      <c r="V257" s="7"/>
      <c r="W257" s="7"/>
      <c r="X257" s="7"/>
      <c r="Y257" s="7"/>
      <c r="Z257" s="7"/>
      <c r="AA257" s="7"/>
      <c r="AB257" s="7"/>
      <c r="AC257" s="7"/>
      <c r="AD257" s="7"/>
      <c r="AE257" s="7"/>
      <c r="AF257" s="7"/>
      <c r="AG257" s="7"/>
      <c r="AH257" s="1"/>
      <c r="AI257" s="1"/>
      <c r="AJ257" s="1"/>
    </row>
    <row r="258" spans="3:36" ht="14.25" customHeight="1" x14ac:dyDescent="0.4">
      <c r="C258" s="1"/>
      <c r="E258" s="2"/>
      <c r="F258" s="3"/>
      <c r="G258" s="4"/>
      <c r="H258" s="5"/>
      <c r="I258" s="6"/>
      <c r="J258" s="6"/>
      <c r="K258" s="7"/>
      <c r="L258" s="5"/>
      <c r="M258" s="7"/>
      <c r="N258" s="7"/>
      <c r="O258" s="7"/>
      <c r="P258" s="5"/>
      <c r="Q258" s="7"/>
      <c r="R258" s="7"/>
      <c r="S258" s="7"/>
      <c r="T258" s="7"/>
      <c r="U258" s="7"/>
      <c r="V258" s="7"/>
      <c r="W258" s="7"/>
      <c r="X258" s="7"/>
      <c r="Y258" s="7"/>
      <c r="Z258" s="7"/>
      <c r="AA258" s="7"/>
      <c r="AB258" s="7"/>
      <c r="AC258" s="7"/>
      <c r="AD258" s="7"/>
      <c r="AE258" s="7"/>
      <c r="AF258" s="7"/>
      <c r="AG258" s="7"/>
      <c r="AH258" s="1"/>
      <c r="AI258" s="1"/>
      <c r="AJ258" s="1"/>
    </row>
    <row r="259" spans="3:36" ht="14.25" customHeight="1" x14ac:dyDescent="0.4">
      <c r="C259" s="1"/>
      <c r="E259" s="2"/>
      <c r="F259" s="3"/>
      <c r="G259" s="4"/>
      <c r="H259" s="5"/>
      <c r="I259" s="6"/>
      <c r="J259" s="6"/>
      <c r="K259" s="7"/>
      <c r="L259" s="5"/>
      <c r="M259" s="7"/>
      <c r="N259" s="7"/>
      <c r="O259" s="7"/>
      <c r="P259" s="5"/>
      <c r="Q259" s="7"/>
      <c r="R259" s="7"/>
      <c r="S259" s="7"/>
      <c r="T259" s="7"/>
      <c r="U259" s="7"/>
      <c r="V259" s="7"/>
      <c r="W259" s="7"/>
      <c r="X259" s="7"/>
      <c r="Y259" s="7"/>
      <c r="Z259" s="7"/>
      <c r="AA259" s="7"/>
      <c r="AB259" s="7"/>
      <c r="AC259" s="7"/>
      <c r="AD259" s="7"/>
      <c r="AE259" s="7"/>
      <c r="AF259" s="7"/>
      <c r="AG259" s="7"/>
      <c r="AH259" s="1"/>
      <c r="AI259" s="1"/>
      <c r="AJ259" s="1"/>
    </row>
    <row r="260" spans="3:36" ht="14.25" customHeight="1" x14ac:dyDescent="0.4">
      <c r="C260" s="1"/>
      <c r="E260" s="2"/>
      <c r="F260" s="3"/>
      <c r="G260" s="4"/>
      <c r="H260" s="5"/>
      <c r="I260" s="6"/>
      <c r="J260" s="6"/>
      <c r="K260" s="7"/>
      <c r="L260" s="5"/>
      <c r="M260" s="7"/>
      <c r="N260" s="7"/>
      <c r="O260" s="7"/>
      <c r="P260" s="5"/>
      <c r="Q260" s="7"/>
      <c r="R260" s="7"/>
      <c r="S260" s="7"/>
      <c r="T260" s="7"/>
      <c r="U260" s="7"/>
      <c r="V260" s="7"/>
      <c r="W260" s="7"/>
      <c r="X260" s="7"/>
      <c r="Y260" s="7"/>
      <c r="Z260" s="7"/>
      <c r="AA260" s="7"/>
      <c r="AB260" s="7"/>
      <c r="AC260" s="7"/>
      <c r="AD260" s="7"/>
      <c r="AE260" s="7"/>
      <c r="AF260" s="7"/>
      <c r="AG260" s="7"/>
      <c r="AH260" s="1"/>
      <c r="AI260" s="1"/>
      <c r="AJ260" s="1"/>
    </row>
    <row r="261" spans="3:36" ht="14.25" customHeight="1" x14ac:dyDescent="0.4">
      <c r="C261" s="1"/>
      <c r="E261" s="2"/>
      <c r="F261" s="3"/>
      <c r="G261" s="4"/>
      <c r="H261" s="5"/>
      <c r="I261" s="6"/>
      <c r="J261" s="6"/>
      <c r="K261" s="7"/>
      <c r="L261" s="5"/>
      <c r="M261" s="7"/>
      <c r="N261" s="7"/>
      <c r="O261" s="7"/>
      <c r="P261" s="5"/>
      <c r="Q261" s="7"/>
      <c r="R261" s="7"/>
      <c r="S261" s="7"/>
      <c r="T261" s="7"/>
      <c r="U261" s="7"/>
      <c r="V261" s="7"/>
      <c r="W261" s="7"/>
      <c r="X261" s="7"/>
      <c r="Y261" s="7"/>
      <c r="Z261" s="7"/>
      <c r="AA261" s="7"/>
      <c r="AB261" s="7"/>
      <c r="AC261" s="7"/>
      <c r="AD261" s="7"/>
      <c r="AE261" s="7"/>
      <c r="AF261" s="7"/>
      <c r="AG261" s="7"/>
      <c r="AH261" s="1"/>
      <c r="AI261" s="1"/>
      <c r="AJ261" s="1"/>
    </row>
    <row r="262" spans="3:36" ht="14.25" customHeight="1" x14ac:dyDescent="0.4">
      <c r="C262" s="1"/>
      <c r="E262" s="2"/>
      <c r="F262" s="3"/>
      <c r="G262" s="4"/>
      <c r="H262" s="5"/>
      <c r="I262" s="6"/>
      <c r="J262" s="6"/>
      <c r="K262" s="7"/>
      <c r="L262" s="5"/>
      <c r="M262" s="7"/>
      <c r="N262" s="7"/>
      <c r="O262" s="7"/>
      <c r="P262" s="5"/>
      <c r="Q262" s="7"/>
      <c r="R262" s="7"/>
      <c r="S262" s="7"/>
      <c r="T262" s="7"/>
      <c r="U262" s="7"/>
      <c r="V262" s="7"/>
      <c r="W262" s="7"/>
      <c r="X262" s="7"/>
      <c r="Y262" s="7"/>
      <c r="Z262" s="7"/>
      <c r="AA262" s="7"/>
      <c r="AB262" s="7"/>
      <c r="AC262" s="7"/>
      <c r="AD262" s="7"/>
      <c r="AE262" s="7"/>
      <c r="AF262" s="7"/>
      <c r="AG262" s="7"/>
      <c r="AH262" s="1"/>
      <c r="AI262" s="1"/>
      <c r="AJ262" s="1"/>
    </row>
    <row r="263" spans="3:36" ht="14.25" customHeight="1" x14ac:dyDescent="0.4">
      <c r="C263" s="1"/>
      <c r="E263" s="2"/>
      <c r="F263" s="3"/>
      <c r="G263" s="4"/>
      <c r="H263" s="5"/>
      <c r="I263" s="6"/>
      <c r="J263" s="6"/>
      <c r="K263" s="7"/>
      <c r="L263" s="5"/>
      <c r="M263" s="7"/>
      <c r="N263" s="7"/>
      <c r="O263" s="7"/>
      <c r="P263" s="5"/>
      <c r="Q263" s="7"/>
      <c r="R263" s="7"/>
      <c r="S263" s="7"/>
      <c r="T263" s="7"/>
      <c r="U263" s="7"/>
      <c r="V263" s="7"/>
      <c r="W263" s="7"/>
      <c r="X263" s="7"/>
      <c r="Y263" s="7"/>
      <c r="Z263" s="7"/>
      <c r="AA263" s="7"/>
      <c r="AB263" s="7"/>
      <c r="AC263" s="7"/>
      <c r="AD263" s="7"/>
      <c r="AE263" s="7"/>
      <c r="AF263" s="7"/>
      <c r="AG263" s="7"/>
      <c r="AH263" s="1"/>
      <c r="AI263" s="1"/>
      <c r="AJ263" s="1"/>
    </row>
    <row r="264" spans="3:36" ht="14.25" customHeight="1" x14ac:dyDescent="0.4">
      <c r="C264" s="1"/>
      <c r="E264" s="2"/>
      <c r="F264" s="3"/>
      <c r="G264" s="4"/>
      <c r="H264" s="5"/>
      <c r="I264" s="6"/>
      <c r="J264" s="6"/>
      <c r="K264" s="7"/>
      <c r="L264" s="5"/>
      <c r="M264" s="7"/>
      <c r="N264" s="7"/>
      <c r="O264" s="7"/>
      <c r="P264" s="5"/>
      <c r="Q264" s="7"/>
      <c r="R264" s="7"/>
      <c r="S264" s="7"/>
      <c r="T264" s="7"/>
      <c r="U264" s="7"/>
      <c r="V264" s="7"/>
      <c r="W264" s="7"/>
      <c r="X264" s="7"/>
      <c r="Y264" s="7"/>
      <c r="Z264" s="7"/>
      <c r="AA264" s="7"/>
      <c r="AB264" s="7"/>
      <c r="AC264" s="7"/>
      <c r="AD264" s="7"/>
      <c r="AE264" s="7"/>
      <c r="AF264" s="7"/>
      <c r="AG264" s="7"/>
      <c r="AH264" s="1"/>
      <c r="AI264" s="1"/>
      <c r="AJ264" s="1"/>
    </row>
    <row r="265" spans="3:36" ht="14.25" customHeight="1" x14ac:dyDescent="0.4">
      <c r="C265" s="1"/>
      <c r="E265" s="2"/>
      <c r="F265" s="3"/>
      <c r="G265" s="4"/>
      <c r="H265" s="5"/>
      <c r="I265" s="6"/>
      <c r="J265" s="6"/>
      <c r="K265" s="7"/>
      <c r="L265" s="5"/>
      <c r="M265" s="7"/>
      <c r="N265" s="7"/>
      <c r="O265" s="7"/>
      <c r="P265" s="5"/>
      <c r="Q265" s="7"/>
      <c r="R265" s="7"/>
      <c r="S265" s="7"/>
      <c r="T265" s="7"/>
      <c r="U265" s="7"/>
      <c r="V265" s="7"/>
      <c r="W265" s="7"/>
      <c r="X265" s="7"/>
      <c r="Y265" s="7"/>
      <c r="Z265" s="7"/>
      <c r="AA265" s="7"/>
      <c r="AB265" s="7"/>
      <c r="AC265" s="7"/>
      <c r="AD265" s="7"/>
      <c r="AE265" s="7"/>
      <c r="AF265" s="7"/>
      <c r="AG265" s="7"/>
      <c r="AH265" s="1"/>
      <c r="AI265" s="1"/>
      <c r="AJ265" s="1"/>
    </row>
    <row r="266" spans="3:36" ht="14.25" customHeight="1" x14ac:dyDescent="0.4">
      <c r="C266" s="1"/>
      <c r="E266" s="2"/>
      <c r="F266" s="3"/>
      <c r="G266" s="4"/>
      <c r="H266" s="5"/>
      <c r="I266" s="6"/>
      <c r="J266" s="6"/>
      <c r="K266" s="7"/>
      <c r="L266" s="5"/>
      <c r="M266" s="7"/>
      <c r="N266" s="7"/>
      <c r="O266" s="7"/>
      <c r="P266" s="5"/>
      <c r="Q266" s="7"/>
      <c r="R266" s="7"/>
      <c r="S266" s="7"/>
      <c r="T266" s="7"/>
      <c r="U266" s="7"/>
      <c r="V266" s="7"/>
      <c r="W266" s="7"/>
      <c r="X266" s="7"/>
      <c r="Y266" s="7"/>
      <c r="Z266" s="7"/>
      <c r="AA266" s="7"/>
      <c r="AB266" s="7"/>
      <c r="AC266" s="7"/>
      <c r="AD266" s="7"/>
      <c r="AE266" s="7"/>
      <c r="AF266" s="7"/>
      <c r="AG266" s="7"/>
      <c r="AH266" s="1"/>
      <c r="AI266" s="1"/>
      <c r="AJ266" s="1"/>
    </row>
    <row r="267" spans="3:36" ht="14.25" customHeight="1" x14ac:dyDescent="0.4">
      <c r="C267" s="1"/>
      <c r="E267" s="2"/>
      <c r="F267" s="3"/>
      <c r="G267" s="4"/>
      <c r="H267" s="5"/>
      <c r="I267" s="6"/>
      <c r="J267" s="6"/>
      <c r="K267" s="7"/>
      <c r="L267" s="5"/>
      <c r="M267" s="7"/>
      <c r="N267" s="7"/>
      <c r="O267" s="7"/>
      <c r="P267" s="5"/>
      <c r="Q267" s="7"/>
      <c r="R267" s="7"/>
      <c r="S267" s="7"/>
      <c r="T267" s="7"/>
      <c r="U267" s="7"/>
      <c r="V267" s="7"/>
      <c r="W267" s="7"/>
      <c r="X267" s="7"/>
      <c r="Y267" s="7"/>
      <c r="Z267" s="7"/>
      <c r="AA267" s="7"/>
      <c r="AB267" s="7"/>
      <c r="AC267" s="7"/>
      <c r="AD267" s="7"/>
      <c r="AE267" s="7"/>
      <c r="AF267" s="7"/>
      <c r="AG267" s="7"/>
      <c r="AH267" s="1"/>
      <c r="AI267" s="1"/>
      <c r="AJ267" s="1"/>
    </row>
    <row r="268" spans="3:36" ht="14.25" customHeight="1" x14ac:dyDescent="0.4">
      <c r="C268" s="1"/>
      <c r="E268" s="2"/>
      <c r="F268" s="3"/>
      <c r="G268" s="4"/>
      <c r="H268" s="5"/>
      <c r="I268" s="6"/>
      <c r="J268" s="6"/>
      <c r="K268" s="7"/>
      <c r="L268" s="5"/>
      <c r="M268" s="7"/>
      <c r="N268" s="7"/>
      <c r="O268" s="7"/>
      <c r="P268" s="5"/>
      <c r="Q268" s="7"/>
      <c r="R268" s="7"/>
      <c r="S268" s="7"/>
      <c r="T268" s="7"/>
      <c r="U268" s="7"/>
      <c r="V268" s="7"/>
      <c r="W268" s="7"/>
      <c r="X268" s="7"/>
      <c r="Y268" s="7"/>
      <c r="Z268" s="7"/>
      <c r="AA268" s="7"/>
      <c r="AB268" s="7"/>
      <c r="AC268" s="7"/>
      <c r="AD268" s="7"/>
      <c r="AE268" s="7"/>
      <c r="AF268" s="7"/>
      <c r="AG268" s="7"/>
      <c r="AH268" s="1"/>
      <c r="AI268" s="1"/>
      <c r="AJ268" s="1"/>
    </row>
    <row r="269" spans="3:36" ht="14.25" customHeight="1" x14ac:dyDescent="0.4">
      <c r="C269" s="1"/>
      <c r="E269" s="2"/>
      <c r="F269" s="3"/>
      <c r="G269" s="4"/>
      <c r="H269" s="5"/>
      <c r="I269" s="6"/>
      <c r="J269" s="6"/>
      <c r="K269" s="7"/>
      <c r="L269" s="5"/>
      <c r="M269" s="7"/>
      <c r="N269" s="7"/>
      <c r="O269" s="7"/>
      <c r="P269" s="5"/>
      <c r="Q269" s="7"/>
      <c r="R269" s="7"/>
      <c r="S269" s="7"/>
      <c r="T269" s="7"/>
      <c r="U269" s="7"/>
      <c r="V269" s="7"/>
      <c r="W269" s="7"/>
      <c r="X269" s="7"/>
      <c r="Y269" s="7"/>
      <c r="Z269" s="7"/>
      <c r="AA269" s="7"/>
      <c r="AB269" s="7"/>
      <c r="AC269" s="7"/>
      <c r="AD269" s="7"/>
      <c r="AE269" s="7"/>
      <c r="AF269" s="7"/>
      <c r="AG269" s="7"/>
      <c r="AH269" s="1"/>
      <c r="AI269" s="1"/>
      <c r="AJ269" s="1"/>
    </row>
    <row r="270" spans="3:36" ht="14.25" customHeight="1" x14ac:dyDescent="0.4">
      <c r="C270" s="1"/>
      <c r="E270" s="2"/>
      <c r="F270" s="3"/>
      <c r="G270" s="4"/>
      <c r="H270" s="5"/>
      <c r="I270" s="6"/>
      <c r="J270" s="6"/>
      <c r="K270" s="7"/>
      <c r="L270" s="5"/>
      <c r="M270" s="7"/>
      <c r="N270" s="7"/>
      <c r="O270" s="7"/>
      <c r="P270" s="5"/>
      <c r="Q270" s="7"/>
      <c r="R270" s="7"/>
      <c r="S270" s="7"/>
      <c r="T270" s="7"/>
      <c r="U270" s="7"/>
      <c r="V270" s="7"/>
      <c r="W270" s="7"/>
      <c r="X270" s="7"/>
      <c r="Y270" s="7"/>
      <c r="Z270" s="7"/>
      <c r="AA270" s="7"/>
      <c r="AB270" s="7"/>
      <c r="AC270" s="7"/>
      <c r="AD270" s="7"/>
      <c r="AE270" s="7"/>
      <c r="AF270" s="7"/>
      <c r="AG270" s="7"/>
      <c r="AH270" s="1"/>
      <c r="AI270" s="1"/>
      <c r="AJ270" s="1"/>
    </row>
    <row r="271" spans="3:36" ht="14.25" customHeight="1" x14ac:dyDescent="0.4">
      <c r="C271" s="1"/>
      <c r="E271" s="2"/>
      <c r="F271" s="3"/>
      <c r="G271" s="4"/>
      <c r="H271" s="5"/>
      <c r="I271" s="6"/>
      <c r="J271" s="6"/>
      <c r="K271" s="7"/>
      <c r="L271" s="5"/>
      <c r="M271" s="7"/>
      <c r="N271" s="7"/>
      <c r="O271" s="7"/>
      <c r="P271" s="5"/>
      <c r="Q271" s="7"/>
      <c r="R271" s="7"/>
      <c r="S271" s="7"/>
      <c r="T271" s="7"/>
      <c r="U271" s="7"/>
      <c r="V271" s="7"/>
      <c r="W271" s="7"/>
      <c r="X271" s="7"/>
      <c r="Y271" s="7"/>
      <c r="Z271" s="7"/>
      <c r="AA271" s="7"/>
      <c r="AB271" s="7"/>
      <c r="AC271" s="7"/>
      <c r="AD271" s="7"/>
      <c r="AE271" s="7"/>
      <c r="AF271" s="7"/>
      <c r="AG271" s="7"/>
      <c r="AH271" s="1"/>
      <c r="AI271" s="1"/>
      <c r="AJ271" s="1"/>
    </row>
    <row r="272" spans="3:36" ht="14.25" customHeight="1" x14ac:dyDescent="0.4">
      <c r="C272" s="1"/>
      <c r="E272" s="2"/>
      <c r="F272" s="3"/>
      <c r="G272" s="4"/>
      <c r="H272" s="5"/>
      <c r="I272" s="6"/>
      <c r="J272" s="6"/>
      <c r="K272" s="7"/>
      <c r="L272" s="5"/>
      <c r="M272" s="7"/>
      <c r="N272" s="7"/>
      <c r="O272" s="7"/>
      <c r="P272" s="5"/>
      <c r="Q272" s="7"/>
      <c r="R272" s="7"/>
      <c r="S272" s="7"/>
      <c r="T272" s="7"/>
      <c r="U272" s="7"/>
      <c r="V272" s="7"/>
      <c r="W272" s="7"/>
      <c r="X272" s="7"/>
      <c r="Y272" s="7"/>
      <c r="Z272" s="7"/>
      <c r="AA272" s="7"/>
      <c r="AB272" s="7"/>
      <c r="AC272" s="7"/>
      <c r="AD272" s="7"/>
      <c r="AE272" s="7"/>
      <c r="AF272" s="7"/>
      <c r="AG272" s="7"/>
      <c r="AH272" s="1"/>
      <c r="AI272" s="1"/>
      <c r="AJ272" s="1"/>
    </row>
    <row r="273" spans="3:36" ht="14.25" customHeight="1" x14ac:dyDescent="0.4">
      <c r="C273" s="1"/>
      <c r="E273" s="2"/>
      <c r="F273" s="3"/>
      <c r="G273" s="4"/>
      <c r="H273" s="5"/>
      <c r="I273" s="6"/>
      <c r="J273" s="6"/>
      <c r="K273" s="7"/>
      <c r="L273" s="5"/>
      <c r="M273" s="7"/>
      <c r="N273" s="7"/>
      <c r="O273" s="7"/>
      <c r="P273" s="5"/>
      <c r="Q273" s="7"/>
      <c r="R273" s="7"/>
      <c r="S273" s="7"/>
      <c r="T273" s="7"/>
      <c r="U273" s="7"/>
      <c r="V273" s="7"/>
      <c r="W273" s="7"/>
      <c r="X273" s="7"/>
      <c r="Y273" s="7"/>
      <c r="Z273" s="7"/>
      <c r="AA273" s="7"/>
      <c r="AB273" s="7"/>
      <c r="AC273" s="7"/>
      <c r="AD273" s="7"/>
      <c r="AE273" s="7"/>
      <c r="AF273" s="7"/>
      <c r="AG273" s="7"/>
      <c r="AH273" s="1"/>
      <c r="AI273" s="1"/>
      <c r="AJ273" s="1"/>
    </row>
    <row r="274" spans="3:36" ht="14.25" customHeight="1" x14ac:dyDescent="0.4">
      <c r="C274" s="1"/>
      <c r="E274" s="2"/>
      <c r="F274" s="3"/>
      <c r="G274" s="4"/>
      <c r="H274" s="5"/>
      <c r="I274" s="6"/>
      <c r="J274" s="6"/>
      <c r="K274" s="7"/>
      <c r="L274" s="5"/>
      <c r="M274" s="7"/>
      <c r="N274" s="7"/>
      <c r="O274" s="7"/>
      <c r="P274" s="5"/>
      <c r="Q274" s="7"/>
      <c r="R274" s="7"/>
      <c r="S274" s="7"/>
      <c r="T274" s="7"/>
      <c r="U274" s="7"/>
      <c r="V274" s="7"/>
      <c r="W274" s="7"/>
      <c r="X274" s="7"/>
      <c r="Y274" s="7"/>
      <c r="Z274" s="7"/>
      <c r="AA274" s="7"/>
      <c r="AB274" s="7"/>
      <c r="AC274" s="7"/>
      <c r="AD274" s="7"/>
      <c r="AE274" s="7"/>
      <c r="AF274" s="7"/>
      <c r="AG274" s="7"/>
      <c r="AH274" s="1"/>
      <c r="AI274" s="1"/>
      <c r="AJ274" s="1"/>
    </row>
    <row r="275" spans="3:36" ht="14.25" customHeight="1" x14ac:dyDescent="0.4">
      <c r="C275" s="1"/>
      <c r="E275" s="2"/>
      <c r="F275" s="3"/>
      <c r="G275" s="4"/>
      <c r="H275" s="5"/>
      <c r="I275" s="6"/>
      <c r="J275" s="6"/>
      <c r="K275" s="7"/>
      <c r="L275" s="5"/>
      <c r="M275" s="7"/>
      <c r="N275" s="7"/>
      <c r="O275" s="7"/>
      <c r="P275" s="5"/>
      <c r="Q275" s="7"/>
      <c r="R275" s="7"/>
      <c r="S275" s="7"/>
      <c r="T275" s="7"/>
      <c r="U275" s="7"/>
      <c r="V275" s="7"/>
      <c r="W275" s="7"/>
      <c r="X275" s="7"/>
      <c r="Y275" s="7"/>
      <c r="Z275" s="7"/>
      <c r="AA275" s="7"/>
      <c r="AB275" s="7"/>
      <c r="AC275" s="7"/>
      <c r="AD275" s="7"/>
      <c r="AE275" s="7"/>
      <c r="AF275" s="7"/>
      <c r="AG275" s="7"/>
      <c r="AH275" s="1"/>
      <c r="AI275" s="1"/>
      <c r="AJ275" s="1"/>
    </row>
    <row r="276" spans="3:36" ht="14.25" customHeight="1" x14ac:dyDescent="0.4">
      <c r="C276" s="1"/>
      <c r="E276" s="2"/>
      <c r="F276" s="3"/>
      <c r="G276" s="4"/>
      <c r="H276" s="5"/>
      <c r="I276" s="6"/>
      <c r="J276" s="6"/>
      <c r="K276" s="7"/>
      <c r="L276" s="5"/>
      <c r="M276" s="7"/>
      <c r="N276" s="7"/>
      <c r="O276" s="7"/>
      <c r="P276" s="5"/>
      <c r="Q276" s="7"/>
      <c r="R276" s="7"/>
      <c r="S276" s="7"/>
      <c r="T276" s="7"/>
      <c r="U276" s="7"/>
      <c r="V276" s="7"/>
      <c r="W276" s="7"/>
      <c r="X276" s="7"/>
      <c r="Y276" s="7"/>
      <c r="Z276" s="7"/>
      <c r="AA276" s="7"/>
      <c r="AB276" s="7"/>
      <c r="AC276" s="7"/>
      <c r="AD276" s="7"/>
      <c r="AE276" s="7"/>
      <c r="AF276" s="7"/>
      <c r="AG276" s="7"/>
      <c r="AH276" s="1"/>
      <c r="AI276" s="1"/>
      <c r="AJ276" s="1"/>
    </row>
    <row r="277" spans="3:36" ht="14.25" customHeight="1" x14ac:dyDescent="0.4">
      <c r="C277" s="1"/>
      <c r="E277" s="2"/>
      <c r="F277" s="3"/>
      <c r="G277" s="4"/>
      <c r="H277" s="5"/>
      <c r="I277" s="6"/>
      <c r="J277" s="6"/>
      <c r="K277" s="7"/>
      <c r="L277" s="5"/>
      <c r="M277" s="7"/>
      <c r="N277" s="7"/>
      <c r="O277" s="7"/>
      <c r="P277" s="5"/>
      <c r="Q277" s="7"/>
      <c r="R277" s="7"/>
      <c r="S277" s="7"/>
      <c r="T277" s="7"/>
      <c r="U277" s="7"/>
      <c r="V277" s="7"/>
      <c r="W277" s="7"/>
      <c r="X277" s="7"/>
      <c r="Y277" s="7"/>
      <c r="Z277" s="7"/>
      <c r="AA277" s="7"/>
      <c r="AB277" s="7"/>
      <c r="AC277" s="7"/>
      <c r="AD277" s="7"/>
      <c r="AE277" s="7"/>
      <c r="AF277" s="7"/>
      <c r="AG277" s="7"/>
      <c r="AH277" s="1"/>
      <c r="AI277" s="1"/>
      <c r="AJ277" s="1"/>
    </row>
    <row r="278" spans="3:36" ht="14.25" customHeight="1" x14ac:dyDescent="0.4">
      <c r="C278" s="1"/>
      <c r="E278" s="2"/>
      <c r="F278" s="3"/>
      <c r="G278" s="4"/>
      <c r="H278" s="5"/>
      <c r="I278" s="6"/>
      <c r="J278" s="6"/>
      <c r="K278" s="7"/>
      <c r="L278" s="5"/>
      <c r="M278" s="7"/>
      <c r="N278" s="7"/>
      <c r="O278" s="7"/>
      <c r="P278" s="5"/>
      <c r="Q278" s="7"/>
      <c r="R278" s="7"/>
      <c r="S278" s="7"/>
      <c r="T278" s="7"/>
      <c r="U278" s="7"/>
      <c r="V278" s="7"/>
      <c r="W278" s="7"/>
      <c r="X278" s="7"/>
      <c r="Y278" s="7"/>
      <c r="Z278" s="7"/>
      <c r="AA278" s="7"/>
      <c r="AB278" s="7"/>
      <c r="AC278" s="7"/>
      <c r="AD278" s="7"/>
      <c r="AE278" s="7"/>
      <c r="AF278" s="7"/>
      <c r="AG278" s="7"/>
      <c r="AH278" s="1"/>
      <c r="AI278" s="1"/>
      <c r="AJ278" s="1"/>
    </row>
    <row r="279" spans="3:36" ht="14.25" customHeight="1" x14ac:dyDescent="0.4">
      <c r="C279" s="1"/>
      <c r="E279" s="2"/>
      <c r="F279" s="3"/>
      <c r="G279" s="4"/>
      <c r="H279" s="5"/>
      <c r="I279" s="6"/>
      <c r="J279" s="6"/>
      <c r="K279" s="7"/>
      <c r="L279" s="5"/>
      <c r="M279" s="7"/>
      <c r="N279" s="7"/>
      <c r="O279" s="7"/>
      <c r="P279" s="5"/>
      <c r="Q279" s="7"/>
      <c r="R279" s="7"/>
      <c r="S279" s="7"/>
      <c r="T279" s="7"/>
      <c r="U279" s="7"/>
      <c r="V279" s="7"/>
      <c r="W279" s="7"/>
      <c r="X279" s="7"/>
      <c r="Y279" s="7"/>
      <c r="Z279" s="7"/>
      <c r="AA279" s="7"/>
      <c r="AB279" s="7"/>
      <c r="AC279" s="7"/>
      <c r="AD279" s="7"/>
      <c r="AE279" s="7"/>
      <c r="AF279" s="7"/>
      <c r="AG279" s="7"/>
      <c r="AH279" s="1"/>
      <c r="AI279" s="1"/>
      <c r="AJ279" s="1"/>
    </row>
    <row r="280" spans="3:36" ht="14.25" customHeight="1" x14ac:dyDescent="0.4">
      <c r="C280" s="1"/>
      <c r="E280" s="2"/>
      <c r="F280" s="3"/>
      <c r="G280" s="4"/>
      <c r="H280" s="5"/>
      <c r="I280" s="6"/>
      <c r="J280" s="6"/>
      <c r="K280" s="7"/>
      <c r="L280" s="5"/>
      <c r="M280" s="7"/>
      <c r="N280" s="7"/>
      <c r="O280" s="7"/>
      <c r="P280" s="5"/>
      <c r="Q280" s="7"/>
      <c r="R280" s="7"/>
      <c r="S280" s="7"/>
      <c r="T280" s="7"/>
      <c r="U280" s="7"/>
      <c r="V280" s="7"/>
      <c r="W280" s="7"/>
      <c r="X280" s="7"/>
      <c r="Y280" s="7"/>
      <c r="Z280" s="7"/>
      <c r="AA280" s="7"/>
      <c r="AB280" s="7"/>
      <c r="AC280" s="7"/>
      <c r="AD280" s="7"/>
      <c r="AE280" s="7"/>
      <c r="AF280" s="7"/>
      <c r="AG280" s="7"/>
      <c r="AH280" s="1"/>
      <c r="AI280" s="1"/>
      <c r="AJ280" s="1"/>
    </row>
    <row r="281" spans="3:36" ht="14.25" customHeight="1" x14ac:dyDescent="0.4">
      <c r="C281" s="1"/>
      <c r="E281" s="2"/>
      <c r="F281" s="3"/>
      <c r="G281" s="4"/>
      <c r="H281" s="5"/>
      <c r="I281" s="6"/>
      <c r="J281" s="6"/>
      <c r="K281" s="7"/>
      <c r="L281" s="5"/>
      <c r="M281" s="7"/>
      <c r="N281" s="7"/>
      <c r="O281" s="7"/>
      <c r="P281" s="5"/>
      <c r="Q281" s="7"/>
      <c r="R281" s="7"/>
      <c r="S281" s="7"/>
      <c r="T281" s="7"/>
      <c r="U281" s="7"/>
      <c r="V281" s="7"/>
      <c r="W281" s="7"/>
      <c r="X281" s="7"/>
      <c r="Y281" s="7"/>
      <c r="Z281" s="7"/>
      <c r="AA281" s="7"/>
      <c r="AB281" s="7"/>
      <c r="AC281" s="7"/>
      <c r="AD281" s="7"/>
      <c r="AE281" s="7"/>
      <c r="AF281" s="7"/>
      <c r="AG281" s="7"/>
      <c r="AH281" s="1"/>
      <c r="AI281" s="1"/>
      <c r="AJ281" s="1"/>
    </row>
    <row r="282" spans="3:36" ht="14.25" customHeight="1" x14ac:dyDescent="0.4">
      <c r="C282" s="1"/>
      <c r="E282" s="2"/>
      <c r="F282" s="3"/>
      <c r="G282" s="4"/>
      <c r="H282" s="5"/>
      <c r="I282" s="6"/>
      <c r="J282" s="6"/>
      <c r="K282" s="7"/>
      <c r="L282" s="5"/>
      <c r="M282" s="7"/>
      <c r="N282" s="7"/>
      <c r="O282" s="7"/>
      <c r="P282" s="5"/>
      <c r="Q282" s="7"/>
      <c r="R282" s="7"/>
      <c r="S282" s="7"/>
      <c r="T282" s="7"/>
      <c r="U282" s="7"/>
      <c r="V282" s="7"/>
      <c r="W282" s="7"/>
      <c r="X282" s="7"/>
      <c r="Y282" s="7"/>
      <c r="Z282" s="7"/>
      <c r="AA282" s="7"/>
      <c r="AB282" s="7"/>
      <c r="AC282" s="7"/>
      <c r="AD282" s="7"/>
      <c r="AE282" s="7"/>
      <c r="AF282" s="7"/>
      <c r="AG282" s="7"/>
      <c r="AH282" s="1"/>
      <c r="AI282" s="1"/>
      <c r="AJ282" s="1"/>
    </row>
    <row r="283" spans="3:36" ht="14.25" customHeight="1" x14ac:dyDescent="0.4">
      <c r="C283" s="1"/>
      <c r="E283" s="2"/>
      <c r="F283" s="3"/>
      <c r="G283" s="4"/>
      <c r="H283" s="5"/>
      <c r="I283" s="6"/>
      <c r="J283" s="6"/>
      <c r="K283" s="7"/>
      <c r="L283" s="5"/>
      <c r="M283" s="7"/>
      <c r="N283" s="7"/>
      <c r="O283" s="7"/>
      <c r="P283" s="5"/>
      <c r="Q283" s="7"/>
      <c r="R283" s="7"/>
      <c r="S283" s="7"/>
      <c r="T283" s="7"/>
      <c r="U283" s="7"/>
      <c r="V283" s="7"/>
      <c r="W283" s="7"/>
      <c r="X283" s="7"/>
      <c r="Y283" s="7"/>
      <c r="Z283" s="7"/>
      <c r="AA283" s="7"/>
      <c r="AB283" s="7"/>
      <c r="AC283" s="7"/>
      <c r="AD283" s="7"/>
      <c r="AE283" s="7"/>
      <c r="AF283" s="7"/>
      <c r="AG283" s="7"/>
      <c r="AH283" s="1"/>
      <c r="AI283" s="1"/>
      <c r="AJ283" s="1"/>
    </row>
    <row r="284" spans="3:36" ht="14.25" customHeight="1" x14ac:dyDescent="0.4">
      <c r="C284" s="1"/>
      <c r="E284" s="2"/>
      <c r="F284" s="3"/>
      <c r="G284" s="4"/>
      <c r="H284" s="5"/>
      <c r="I284" s="6"/>
      <c r="J284" s="6"/>
      <c r="K284" s="7"/>
      <c r="L284" s="5"/>
      <c r="M284" s="7"/>
      <c r="N284" s="7"/>
      <c r="O284" s="7"/>
      <c r="P284" s="5"/>
      <c r="Q284" s="7"/>
      <c r="R284" s="7"/>
      <c r="S284" s="7"/>
      <c r="T284" s="7"/>
      <c r="U284" s="7"/>
      <c r="V284" s="7"/>
      <c r="W284" s="7"/>
      <c r="X284" s="7"/>
      <c r="Y284" s="7"/>
      <c r="Z284" s="7"/>
      <c r="AA284" s="7"/>
      <c r="AB284" s="7"/>
      <c r="AC284" s="7"/>
      <c r="AD284" s="7"/>
      <c r="AE284" s="7"/>
      <c r="AF284" s="7"/>
      <c r="AG284" s="7"/>
      <c r="AH284" s="1"/>
      <c r="AI284" s="1"/>
      <c r="AJ284" s="1"/>
    </row>
    <row r="285" spans="3:36" ht="14.25" customHeight="1" x14ac:dyDescent="0.4">
      <c r="C285" s="1"/>
      <c r="E285" s="2"/>
      <c r="F285" s="3"/>
      <c r="G285" s="4"/>
      <c r="H285" s="5"/>
      <c r="I285" s="6"/>
      <c r="J285" s="6"/>
      <c r="K285" s="7"/>
      <c r="L285" s="5"/>
      <c r="M285" s="7"/>
      <c r="N285" s="7"/>
      <c r="O285" s="7"/>
      <c r="P285" s="5"/>
      <c r="Q285" s="7"/>
      <c r="R285" s="7"/>
      <c r="S285" s="7"/>
      <c r="T285" s="7"/>
      <c r="U285" s="7"/>
      <c r="V285" s="7"/>
      <c r="W285" s="7"/>
      <c r="X285" s="7"/>
      <c r="Y285" s="7"/>
      <c r="Z285" s="7"/>
      <c r="AA285" s="7"/>
      <c r="AB285" s="7"/>
      <c r="AC285" s="7"/>
      <c r="AD285" s="7"/>
      <c r="AE285" s="7"/>
      <c r="AF285" s="7"/>
      <c r="AG285" s="7"/>
      <c r="AH285" s="1"/>
      <c r="AI285" s="1"/>
      <c r="AJ285" s="1"/>
    </row>
    <row r="286" spans="3:36" ht="14.25" customHeight="1" x14ac:dyDescent="0.4">
      <c r="C286" s="1"/>
      <c r="E286" s="2"/>
      <c r="F286" s="3"/>
      <c r="G286" s="4"/>
      <c r="H286" s="5"/>
      <c r="I286" s="6"/>
      <c r="J286" s="6"/>
      <c r="K286" s="7"/>
      <c r="L286" s="5"/>
      <c r="M286" s="7"/>
      <c r="N286" s="7"/>
      <c r="O286" s="7"/>
      <c r="P286" s="5"/>
      <c r="Q286" s="7"/>
      <c r="R286" s="7"/>
      <c r="S286" s="7"/>
      <c r="T286" s="7"/>
      <c r="U286" s="7"/>
      <c r="V286" s="7"/>
      <c r="W286" s="7"/>
      <c r="X286" s="7"/>
      <c r="Y286" s="7"/>
      <c r="Z286" s="7"/>
      <c r="AA286" s="7"/>
      <c r="AB286" s="7"/>
      <c r="AC286" s="7"/>
      <c r="AD286" s="7"/>
      <c r="AE286" s="7"/>
      <c r="AF286" s="7"/>
      <c r="AG286" s="7"/>
      <c r="AH286" s="1"/>
      <c r="AI286" s="1"/>
      <c r="AJ286" s="1"/>
    </row>
    <row r="287" spans="3:36" ht="14.25" customHeight="1" x14ac:dyDescent="0.4">
      <c r="C287" s="1"/>
      <c r="E287" s="2"/>
      <c r="F287" s="3"/>
      <c r="G287" s="4"/>
      <c r="H287" s="5"/>
      <c r="I287" s="6"/>
      <c r="J287" s="6"/>
      <c r="K287" s="7"/>
      <c r="L287" s="5"/>
      <c r="M287" s="7"/>
      <c r="N287" s="7"/>
      <c r="O287" s="7"/>
      <c r="P287" s="5"/>
      <c r="Q287" s="7"/>
      <c r="R287" s="7"/>
      <c r="S287" s="7"/>
      <c r="T287" s="7"/>
      <c r="U287" s="7"/>
      <c r="V287" s="7"/>
      <c r="W287" s="7"/>
      <c r="X287" s="7"/>
      <c r="Y287" s="7"/>
      <c r="Z287" s="7"/>
      <c r="AA287" s="7"/>
      <c r="AB287" s="7"/>
      <c r="AC287" s="7"/>
      <c r="AD287" s="7"/>
      <c r="AE287" s="7"/>
      <c r="AF287" s="7"/>
      <c r="AG287" s="7"/>
      <c r="AH287" s="1"/>
      <c r="AI287" s="1"/>
      <c r="AJ287" s="1"/>
    </row>
    <row r="288" spans="3:36" ht="14.25" customHeight="1" x14ac:dyDescent="0.4">
      <c r="C288" s="1"/>
      <c r="E288" s="2"/>
      <c r="F288" s="3"/>
      <c r="G288" s="4"/>
      <c r="H288" s="5"/>
      <c r="I288" s="6"/>
      <c r="J288" s="6"/>
      <c r="K288" s="7"/>
      <c r="L288" s="5"/>
      <c r="M288" s="7"/>
      <c r="N288" s="7"/>
      <c r="O288" s="7"/>
      <c r="P288" s="5"/>
      <c r="Q288" s="7"/>
      <c r="R288" s="7"/>
      <c r="S288" s="7"/>
      <c r="T288" s="7"/>
      <c r="U288" s="7"/>
      <c r="V288" s="7"/>
      <c r="W288" s="7"/>
      <c r="X288" s="7"/>
      <c r="Y288" s="7"/>
      <c r="Z288" s="7"/>
      <c r="AA288" s="7"/>
      <c r="AB288" s="7"/>
      <c r="AC288" s="7"/>
      <c r="AD288" s="7"/>
      <c r="AE288" s="7"/>
      <c r="AF288" s="7"/>
      <c r="AG288" s="7"/>
      <c r="AH288" s="1"/>
      <c r="AI288" s="1"/>
      <c r="AJ288" s="1"/>
    </row>
    <row r="289" spans="3:36" ht="14.25" customHeight="1" x14ac:dyDescent="0.4">
      <c r="C289" s="1"/>
      <c r="E289" s="2"/>
      <c r="F289" s="3"/>
      <c r="G289" s="4"/>
      <c r="H289" s="5"/>
      <c r="I289" s="6"/>
      <c r="J289" s="6"/>
      <c r="K289" s="7"/>
      <c r="L289" s="5"/>
      <c r="M289" s="7"/>
      <c r="N289" s="7"/>
      <c r="O289" s="7"/>
      <c r="P289" s="5"/>
      <c r="Q289" s="7"/>
      <c r="R289" s="7"/>
      <c r="S289" s="7"/>
      <c r="T289" s="7"/>
      <c r="U289" s="7"/>
      <c r="V289" s="7"/>
      <c r="W289" s="7"/>
      <c r="X289" s="7"/>
      <c r="Y289" s="7"/>
      <c r="Z289" s="7"/>
      <c r="AA289" s="7"/>
      <c r="AB289" s="7"/>
      <c r="AC289" s="7"/>
      <c r="AD289" s="7"/>
      <c r="AE289" s="7"/>
      <c r="AF289" s="7"/>
      <c r="AG289" s="7"/>
      <c r="AH289" s="1"/>
      <c r="AI289" s="1"/>
      <c r="AJ289" s="1"/>
    </row>
    <row r="290" spans="3:36" ht="14.25" customHeight="1" x14ac:dyDescent="0.4">
      <c r="C290" s="1"/>
      <c r="E290" s="2"/>
      <c r="F290" s="3"/>
      <c r="G290" s="4"/>
      <c r="H290" s="5"/>
      <c r="I290" s="6"/>
      <c r="J290" s="6"/>
      <c r="K290" s="7"/>
      <c r="L290" s="5"/>
      <c r="M290" s="7"/>
      <c r="N290" s="7"/>
      <c r="O290" s="7"/>
      <c r="P290" s="5"/>
      <c r="Q290" s="7"/>
      <c r="R290" s="7"/>
      <c r="S290" s="7"/>
      <c r="T290" s="7"/>
      <c r="U290" s="7"/>
      <c r="V290" s="7"/>
      <c r="W290" s="7"/>
      <c r="X290" s="7"/>
      <c r="Y290" s="7"/>
      <c r="Z290" s="7"/>
      <c r="AA290" s="7"/>
      <c r="AB290" s="7"/>
      <c r="AC290" s="7"/>
      <c r="AD290" s="7"/>
      <c r="AE290" s="7"/>
      <c r="AF290" s="7"/>
      <c r="AG290" s="7"/>
      <c r="AH290" s="1"/>
      <c r="AI290" s="1"/>
      <c r="AJ290" s="1"/>
    </row>
    <row r="291" spans="3:36" ht="14.25" customHeight="1" x14ac:dyDescent="0.4">
      <c r="C291" s="1"/>
      <c r="E291" s="2"/>
      <c r="F291" s="3"/>
      <c r="G291" s="4"/>
      <c r="H291" s="5"/>
      <c r="I291" s="6"/>
      <c r="J291" s="6"/>
      <c r="K291" s="7"/>
      <c r="L291" s="5"/>
      <c r="M291" s="7"/>
      <c r="N291" s="7"/>
      <c r="O291" s="7"/>
      <c r="P291" s="5"/>
      <c r="Q291" s="7"/>
      <c r="R291" s="7"/>
      <c r="S291" s="7"/>
      <c r="T291" s="7"/>
      <c r="U291" s="7"/>
      <c r="V291" s="7"/>
      <c r="W291" s="7"/>
      <c r="X291" s="7"/>
      <c r="Y291" s="7"/>
      <c r="Z291" s="7"/>
      <c r="AA291" s="7"/>
      <c r="AB291" s="7"/>
      <c r="AC291" s="7"/>
      <c r="AD291" s="7"/>
      <c r="AE291" s="7"/>
      <c r="AF291" s="7"/>
      <c r="AG291" s="7"/>
      <c r="AH291" s="1"/>
      <c r="AI291" s="1"/>
      <c r="AJ291" s="1"/>
    </row>
    <row r="292" spans="3:36" ht="14.25" customHeight="1" x14ac:dyDescent="0.4">
      <c r="C292" s="1"/>
      <c r="E292" s="2"/>
      <c r="F292" s="3"/>
      <c r="G292" s="4"/>
      <c r="H292" s="5"/>
      <c r="I292" s="6"/>
      <c r="J292" s="6"/>
      <c r="K292" s="7"/>
      <c r="L292" s="5"/>
      <c r="M292" s="7"/>
      <c r="N292" s="7"/>
      <c r="O292" s="7"/>
      <c r="P292" s="5"/>
      <c r="Q292" s="7"/>
      <c r="R292" s="7"/>
      <c r="S292" s="7"/>
      <c r="T292" s="7"/>
      <c r="U292" s="7"/>
      <c r="V292" s="7"/>
      <c r="W292" s="7"/>
      <c r="X292" s="7"/>
      <c r="Y292" s="7"/>
      <c r="Z292" s="7"/>
      <c r="AA292" s="7"/>
      <c r="AB292" s="7"/>
      <c r="AC292" s="7"/>
      <c r="AD292" s="7"/>
      <c r="AE292" s="7"/>
      <c r="AF292" s="7"/>
      <c r="AG292" s="7"/>
      <c r="AH292" s="1"/>
      <c r="AI292" s="1"/>
      <c r="AJ292" s="1"/>
    </row>
    <row r="293" spans="3:36" ht="14.25" customHeight="1" x14ac:dyDescent="0.4">
      <c r="C293" s="1"/>
      <c r="E293" s="2"/>
      <c r="F293" s="3"/>
      <c r="G293" s="4"/>
      <c r="H293" s="5"/>
      <c r="I293" s="6"/>
      <c r="J293" s="6"/>
      <c r="K293" s="7"/>
      <c r="L293" s="5"/>
      <c r="M293" s="7"/>
      <c r="N293" s="7"/>
      <c r="O293" s="7"/>
      <c r="P293" s="5"/>
      <c r="Q293" s="7"/>
      <c r="R293" s="7"/>
      <c r="S293" s="7"/>
      <c r="T293" s="7"/>
      <c r="U293" s="7"/>
      <c r="V293" s="7"/>
      <c r="W293" s="7"/>
      <c r="X293" s="7"/>
      <c r="Y293" s="7"/>
      <c r="Z293" s="7"/>
      <c r="AA293" s="7"/>
      <c r="AB293" s="7"/>
      <c r="AC293" s="7"/>
      <c r="AD293" s="7"/>
      <c r="AE293" s="7"/>
      <c r="AF293" s="7"/>
      <c r="AG293" s="7"/>
      <c r="AH293" s="1"/>
      <c r="AI293" s="1"/>
      <c r="AJ293" s="1"/>
    </row>
    <row r="294" spans="3:36" ht="14.25" customHeight="1" x14ac:dyDescent="0.4">
      <c r="C294" s="1"/>
      <c r="E294" s="2"/>
      <c r="F294" s="3"/>
      <c r="G294" s="4"/>
      <c r="H294" s="5"/>
      <c r="I294" s="6"/>
      <c r="J294" s="6"/>
      <c r="K294" s="7"/>
      <c r="L294" s="5"/>
      <c r="M294" s="7"/>
      <c r="N294" s="7"/>
      <c r="O294" s="7"/>
      <c r="P294" s="5"/>
      <c r="Q294" s="7"/>
      <c r="R294" s="7"/>
      <c r="S294" s="7"/>
      <c r="T294" s="7"/>
      <c r="U294" s="7"/>
      <c r="V294" s="7"/>
      <c r="W294" s="7"/>
      <c r="X294" s="7"/>
      <c r="Y294" s="7"/>
      <c r="Z294" s="7"/>
      <c r="AA294" s="7"/>
      <c r="AB294" s="7"/>
      <c r="AC294" s="7"/>
      <c r="AD294" s="7"/>
      <c r="AE294" s="7"/>
      <c r="AF294" s="7"/>
      <c r="AG294" s="7"/>
      <c r="AH294" s="1"/>
      <c r="AI294" s="1"/>
      <c r="AJ294" s="1"/>
    </row>
    <row r="295" spans="3:36" ht="14.25" customHeight="1" x14ac:dyDescent="0.4">
      <c r="C295" s="1"/>
      <c r="E295" s="2"/>
      <c r="F295" s="3"/>
      <c r="G295" s="4"/>
      <c r="H295" s="5"/>
      <c r="I295" s="6"/>
      <c r="J295" s="6"/>
      <c r="K295" s="7"/>
      <c r="L295" s="5"/>
      <c r="M295" s="7"/>
      <c r="N295" s="7"/>
      <c r="O295" s="7"/>
      <c r="P295" s="5"/>
      <c r="Q295" s="7"/>
      <c r="R295" s="7"/>
      <c r="S295" s="7"/>
      <c r="T295" s="7"/>
      <c r="U295" s="7"/>
      <c r="V295" s="7"/>
      <c r="W295" s="7"/>
      <c r="X295" s="7"/>
      <c r="Y295" s="7"/>
      <c r="Z295" s="7"/>
      <c r="AA295" s="7"/>
      <c r="AB295" s="7"/>
      <c r="AC295" s="7"/>
      <c r="AD295" s="7"/>
      <c r="AE295" s="7"/>
      <c r="AF295" s="7"/>
      <c r="AG295" s="7"/>
      <c r="AH295" s="1"/>
      <c r="AI295" s="1"/>
      <c r="AJ295" s="1"/>
    </row>
    <row r="296" spans="3:36" ht="14.25" customHeight="1" x14ac:dyDescent="0.4">
      <c r="C296" s="1"/>
      <c r="E296" s="2"/>
      <c r="F296" s="3"/>
      <c r="G296" s="4"/>
      <c r="H296" s="5"/>
      <c r="I296" s="6"/>
      <c r="J296" s="6"/>
      <c r="K296" s="7"/>
      <c r="L296" s="5"/>
      <c r="M296" s="7"/>
      <c r="N296" s="7"/>
      <c r="O296" s="7"/>
      <c r="P296" s="5"/>
      <c r="Q296" s="7"/>
      <c r="R296" s="7"/>
      <c r="S296" s="7"/>
      <c r="T296" s="7"/>
      <c r="U296" s="7"/>
      <c r="V296" s="7"/>
      <c r="W296" s="7"/>
      <c r="X296" s="7"/>
      <c r="Y296" s="7"/>
      <c r="Z296" s="7"/>
      <c r="AA296" s="7"/>
      <c r="AB296" s="7"/>
      <c r="AC296" s="7"/>
      <c r="AD296" s="7"/>
      <c r="AE296" s="7"/>
      <c r="AF296" s="7"/>
      <c r="AG296" s="7"/>
      <c r="AH296" s="1"/>
      <c r="AI296" s="1"/>
      <c r="AJ296" s="1"/>
    </row>
    <row r="297" spans="3:36" ht="14.25" customHeight="1" x14ac:dyDescent="0.4">
      <c r="C297" s="1"/>
      <c r="E297" s="2"/>
      <c r="F297" s="3"/>
      <c r="G297" s="4"/>
      <c r="H297" s="5"/>
      <c r="I297" s="6"/>
      <c r="J297" s="6"/>
      <c r="K297" s="7"/>
      <c r="L297" s="5"/>
      <c r="M297" s="7"/>
      <c r="N297" s="7"/>
      <c r="O297" s="7"/>
      <c r="P297" s="5"/>
      <c r="Q297" s="7"/>
      <c r="R297" s="7"/>
      <c r="S297" s="7"/>
      <c r="T297" s="7"/>
      <c r="U297" s="7"/>
      <c r="V297" s="7"/>
      <c r="W297" s="7"/>
      <c r="X297" s="7"/>
      <c r="Y297" s="7"/>
      <c r="Z297" s="7"/>
      <c r="AA297" s="7"/>
      <c r="AB297" s="7"/>
      <c r="AC297" s="7"/>
      <c r="AD297" s="7"/>
      <c r="AE297" s="7"/>
      <c r="AF297" s="7"/>
      <c r="AG297" s="7"/>
      <c r="AH297" s="1"/>
      <c r="AI297" s="1"/>
      <c r="AJ297" s="1"/>
    </row>
    <row r="298" spans="3:36" ht="14.25" customHeight="1" x14ac:dyDescent="0.4">
      <c r="C298" s="1"/>
      <c r="E298" s="2"/>
      <c r="F298" s="3"/>
      <c r="G298" s="4"/>
      <c r="H298" s="5"/>
      <c r="I298" s="6"/>
      <c r="J298" s="6"/>
      <c r="K298" s="7"/>
      <c r="L298" s="5"/>
      <c r="M298" s="7"/>
      <c r="N298" s="7"/>
      <c r="O298" s="7"/>
      <c r="P298" s="5"/>
      <c r="Q298" s="7"/>
      <c r="R298" s="7"/>
      <c r="S298" s="7"/>
      <c r="T298" s="7"/>
      <c r="U298" s="7"/>
      <c r="V298" s="7"/>
      <c r="W298" s="7"/>
      <c r="X298" s="7"/>
      <c r="Y298" s="7"/>
      <c r="Z298" s="7"/>
      <c r="AA298" s="7"/>
      <c r="AB298" s="7"/>
      <c r="AC298" s="7"/>
      <c r="AD298" s="7"/>
      <c r="AE298" s="7"/>
      <c r="AF298" s="7"/>
      <c r="AG298" s="7"/>
      <c r="AH298" s="1"/>
      <c r="AI298" s="1"/>
      <c r="AJ298" s="1"/>
    </row>
    <row r="299" spans="3:36" ht="14.25" customHeight="1" x14ac:dyDescent="0.4">
      <c r="C299" s="1"/>
      <c r="E299" s="2"/>
      <c r="F299" s="3"/>
      <c r="G299" s="4"/>
      <c r="H299" s="5"/>
      <c r="I299" s="6"/>
      <c r="J299" s="6"/>
      <c r="K299" s="7"/>
      <c r="L299" s="5"/>
      <c r="M299" s="7"/>
      <c r="N299" s="7"/>
      <c r="O299" s="7"/>
      <c r="P299" s="5"/>
      <c r="Q299" s="7"/>
      <c r="R299" s="7"/>
      <c r="S299" s="7"/>
      <c r="T299" s="7"/>
      <c r="U299" s="7"/>
      <c r="V299" s="7"/>
      <c r="W299" s="7"/>
      <c r="X299" s="7"/>
      <c r="Y299" s="7"/>
      <c r="Z299" s="7"/>
      <c r="AA299" s="7"/>
      <c r="AB299" s="7"/>
      <c r="AC299" s="7"/>
      <c r="AD299" s="7"/>
      <c r="AE299" s="7"/>
      <c r="AF299" s="7"/>
      <c r="AG299" s="7"/>
      <c r="AH299" s="1"/>
      <c r="AI299" s="1"/>
      <c r="AJ299" s="1"/>
    </row>
    <row r="300" spans="3:36" ht="14.25" customHeight="1" x14ac:dyDescent="0.4">
      <c r="C300" s="1"/>
      <c r="E300" s="2"/>
      <c r="F300" s="3"/>
      <c r="G300" s="4"/>
      <c r="H300" s="5"/>
      <c r="I300" s="6"/>
      <c r="J300" s="6"/>
      <c r="K300" s="7"/>
      <c r="L300" s="5"/>
      <c r="M300" s="7"/>
      <c r="N300" s="7"/>
      <c r="O300" s="7"/>
      <c r="P300" s="5"/>
      <c r="Q300" s="7"/>
      <c r="R300" s="7"/>
      <c r="S300" s="7"/>
      <c r="T300" s="7"/>
      <c r="U300" s="7"/>
      <c r="V300" s="7"/>
      <c r="W300" s="7"/>
      <c r="X300" s="7"/>
      <c r="Y300" s="7"/>
      <c r="Z300" s="7"/>
      <c r="AA300" s="7"/>
      <c r="AB300" s="7"/>
      <c r="AC300" s="7"/>
      <c r="AD300" s="7"/>
      <c r="AE300" s="7"/>
      <c r="AF300" s="7"/>
      <c r="AG300" s="7"/>
      <c r="AH300" s="1"/>
      <c r="AI300" s="1"/>
      <c r="AJ300" s="1"/>
    </row>
    <row r="301" spans="3:36" ht="14.25" customHeight="1" x14ac:dyDescent="0.4">
      <c r="C301" s="1"/>
      <c r="E301" s="2"/>
      <c r="F301" s="3"/>
      <c r="G301" s="4"/>
      <c r="H301" s="5"/>
      <c r="I301" s="6"/>
      <c r="J301" s="6"/>
      <c r="K301" s="7"/>
      <c r="L301" s="5"/>
      <c r="M301" s="7"/>
      <c r="N301" s="7"/>
      <c r="O301" s="7"/>
      <c r="P301" s="5"/>
      <c r="Q301" s="7"/>
      <c r="R301" s="7"/>
      <c r="S301" s="7"/>
      <c r="T301" s="7"/>
      <c r="U301" s="7"/>
      <c r="V301" s="7"/>
      <c r="W301" s="7"/>
      <c r="X301" s="7"/>
      <c r="Y301" s="7"/>
      <c r="Z301" s="7"/>
      <c r="AA301" s="7"/>
      <c r="AB301" s="7"/>
      <c r="AC301" s="7"/>
      <c r="AD301" s="7"/>
      <c r="AE301" s="7"/>
      <c r="AF301" s="7"/>
      <c r="AG301" s="7"/>
      <c r="AH301" s="1"/>
      <c r="AI301" s="1"/>
      <c r="AJ301" s="1"/>
    </row>
    <row r="302" spans="3:36" ht="14.25" customHeight="1" x14ac:dyDescent="0.4">
      <c r="C302" s="1"/>
      <c r="E302" s="2"/>
      <c r="F302" s="3"/>
      <c r="G302" s="4"/>
      <c r="H302" s="5"/>
      <c r="I302" s="6"/>
      <c r="J302" s="6"/>
      <c r="K302" s="7"/>
      <c r="L302" s="5"/>
      <c r="M302" s="7"/>
      <c r="N302" s="7"/>
      <c r="O302" s="7"/>
      <c r="P302" s="5"/>
      <c r="Q302" s="7"/>
      <c r="R302" s="7"/>
      <c r="S302" s="7"/>
      <c r="T302" s="7"/>
      <c r="U302" s="7"/>
      <c r="V302" s="7"/>
      <c r="W302" s="7"/>
      <c r="X302" s="7"/>
      <c r="Y302" s="7"/>
      <c r="Z302" s="7"/>
      <c r="AA302" s="7"/>
      <c r="AB302" s="7"/>
      <c r="AC302" s="7"/>
      <c r="AD302" s="7"/>
      <c r="AE302" s="7"/>
      <c r="AF302" s="7"/>
      <c r="AG302" s="7"/>
      <c r="AH302" s="1"/>
      <c r="AI302" s="1"/>
      <c r="AJ302" s="1"/>
    </row>
    <row r="303" spans="3:36" ht="14.25" customHeight="1" x14ac:dyDescent="0.4">
      <c r="C303" s="1"/>
      <c r="E303" s="2"/>
      <c r="F303" s="3"/>
      <c r="G303" s="4"/>
      <c r="H303" s="5"/>
      <c r="I303" s="6"/>
      <c r="J303" s="6"/>
      <c r="K303" s="7"/>
      <c r="L303" s="5"/>
      <c r="M303" s="7"/>
      <c r="N303" s="7"/>
      <c r="O303" s="7"/>
      <c r="P303" s="5"/>
      <c r="Q303" s="7"/>
      <c r="R303" s="7"/>
      <c r="S303" s="7"/>
      <c r="T303" s="7"/>
      <c r="U303" s="7"/>
      <c r="V303" s="7"/>
      <c r="W303" s="7"/>
      <c r="X303" s="7"/>
      <c r="Y303" s="7"/>
      <c r="Z303" s="7"/>
      <c r="AA303" s="7"/>
      <c r="AB303" s="7"/>
      <c r="AC303" s="7"/>
      <c r="AD303" s="7"/>
      <c r="AE303" s="7"/>
      <c r="AF303" s="7"/>
      <c r="AG303" s="7"/>
      <c r="AH303" s="1"/>
      <c r="AI303" s="1"/>
      <c r="AJ303" s="1"/>
    </row>
    <row r="304" spans="3:36" ht="14.25" customHeight="1" x14ac:dyDescent="0.4">
      <c r="C304" s="1"/>
      <c r="E304" s="2"/>
      <c r="F304" s="3"/>
      <c r="G304" s="4"/>
      <c r="H304" s="5"/>
      <c r="I304" s="6"/>
      <c r="J304" s="6"/>
      <c r="K304" s="7"/>
      <c r="L304" s="5"/>
      <c r="M304" s="7"/>
      <c r="N304" s="7"/>
      <c r="O304" s="7"/>
      <c r="P304" s="5"/>
      <c r="Q304" s="7"/>
      <c r="R304" s="7"/>
      <c r="S304" s="7"/>
      <c r="T304" s="7"/>
      <c r="U304" s="7"/>
      <c r="V304" s="7"/>
      <c r="W304" s="7"/>
      <c r="X304" s="7"/>
      <c r="Y304" s="7"/>
      <c r="Z304" s="7"/>
      <c r="AA304" s="7"/>
      <c r="AB304" s="7"/>
      <c r="AC304" s="7"/>
      <c r="AD304" s="7"/>
      <c r="AE304" s="7"/>
      <c r="AF304" s="7"/>
      <c r="AG304" s="7"/>
      <c r="AH304" s="1"/>
      <c r="AI304" s="1"/>
      <c r="AJ304" s="1"/>
    </row>
    <row r="305" spans="11:11" ht="15.75" customHeight="1" x14ac:dyDescent="0.45">
      <c r="K305" s="74"/>
    </row>
    <row r="306" spans="11:11" ht="15.75" customHeight="1" x14ac:dyDescent="0.45">
      <c r="K306" s="74"/>
    </row>
    <row r="307" spans="11:11" ht="15.75" customHeight="1" x14ac:dyDescent="0.45">
      <c r="K307" s="74"/>
    </row>
    <row r="308" spans="11:11" ht="15.75" customHeight="1" x14ac:dyDescent="0.45">
      <c r="K308" s="74"/>
    </row>
    <row r="309" spans="11:11" ht="15.75" customHeight="1" x14ac:dyDescent="0.45">
      <c r="K309" s="74"/>
    </row>
    <row r="310" spans="11:11" ht="15.75" customHeight="1" x14ac:dyDescent="0.45">
      <c r="K310" s="74"/>
    </row>
    <row r="311" spans="11:11" ht="15.75" customHeight="1" x14ac:dyDescent="0.45">
      <c r="K311" s="74"/>
    </row>
    <row r="312" spans="11:11" ht="15.75" customHeight="1" x14ac:dyDescent="0.45">
      <c r="K312" s="74"/>
    </row>
    <row r="313" spans="11:11" ht="15.75" customHeight="1" x14ac:dyDescent="0.45">
      <c r="K313" s="74"/>
    </row>
    <row r="314" spans="11:11" ht="15.75" customHeight="1" x14ac:dyDescent="0.45">
      <c r="K314" s="74"/>
    </row>
    <row r="315" spans="11:11" ht="15.75" customHeight="1" x14ac:dyDescent="0.45">
      <c r="K315" s="74"/>
    </row>
    <row r="316" spans="11:11" ht="15.75" customHeight="1" x14ac:dyDescent="0.45">
      <c r="K316" s="74"/>
    </row>
    <row r="317" spans="11:11" ht="15.75" customHeight="1" x14ac:dyDescent="0.45">
      <c r="K317" s="74"/>
    </row>
    <row r="318" spans="11:11" ht="15.75" customHeight="1" x14ac:dyDescent="0.45">
      <c r="K318" s="74"/>
    </row>
    <row r="319" spans="11:11" ht="15.75" customHeight="1" x14ac:dyDescent="0.45">
      <c r="K319" s="74"/>
    </row>
    <row r="320" spans="11:11" ht="15.75" customHeight="1" x14ac:dyDescent="0.45">
      <c r="K320" s="74"/>
    </row>
    <row r="321" spans="11:11" ht="15.75" customHeight="1" x14ac:dyDescent="0.45">
      <c r="K321" s="74"/>
    </row>
    <row r="322" spans="11:11" ht="15.75" customHeight="1" x14ac:dyDescent="0.45">
      <c r="K322" s="74"/>
    </row>
    <row r="323" spans="11:11" ht="15.75" customHeight="1" x14ac:dyDescent="0.45">
      <c r="K323" s="74"/>
    </row>
    <row r="324" spans="11:11" ht="15.75" customHeight="1" x14ac:dyDescent="0.45">
      <c r="K324" s="74"/>
    </row>
    <row r="325" spans="11:11" ht="15.75" customHeight="1" x14ac:dyDescent="0.45">
      <c r="K325" s="74"/>
    </row>
    <row r="326" spans="11:11" ht="15.75" customHeight="1" x14ac:dyDescent="0.45">
      <c r="K326" s="74"/>
    </row>
    <row r="327" spans="11:11" ht="15.75" customHeight="1" x14ac:dyDescent="0.45">
      <c r="K327" s="74"/>
    </row>
    <row r="328" spans="11:11" ht="15.75" customHeight="1" x14ac:dyDescent="0.45">
      <c r="K328" s="74"/>
    </row>
    <row r="329" spans="11:11" ht="15.75" customHeight="1" x14ac:dyDescent="0.45">
      <c r="K329" s="74"/>
    </row>
    <row r="330" spans="11:11" ht="15.75" customHeight="1" x14ac:dyDescent="0.45">
      <c r="K330" s="74"/>
    </row>
    <row r="331" spans="11:11" ht="15.75" customHeight="1" x14ac:dyDescent="0.45">
      <c r="K331" s="74"/>
    </row>
    <row r="332" spans="11:11" ht="15.75" customHeight="1" x14ac:dyDescent="0.45">
      <c r="K332" s="74"/>
    </row>
    <row r="333" spans="11:11" ht="15.75" customHeight="1" x14ac:dyDescent="0.45">
      <c r="K333" s="74"/>
    </row>
    <row r="334" spans="11:11" ht="15.75" customHeight="1" x14ac:dyDescent="0.45">
      <c r="K334" s="74"/>
    </row>
    <row r="335" spans="11:11" ht="15.75" customHeight="1" x14ac:dyDescent="0.45">
      <c r="K335" s="74"/>
    </row>
    <row r="336" spans="11:11" ht="15.75" customHeight="1" x14ac:dyDescent="0.45">
      <c r="K336" s="74"/>
    </row>
    <row r="337" spans="11:11" ht="15.75" customHeight="1" x14ac:dyDescent="0.45">
      <c r="K337" s="74"/>
    </row>
    <row r="338" spans="11:11" ht="15.75" customHeight="1" x14ac:dyDescent="0.45">
      <c r="K338" s="74"/>
    </row>
    <row r="339" spans="11:11" ht="15.75" customHeight="1" x14ac:dyDescent="0.45">
      <c r="K339" s="74"/>
    </row>
    <row r="340" spans="11:11" ht="15.75" customHeight="1" x14ac:dyDescent="0.45">
      <c r="K340" s="74"/>
    </row>
    <row r="341" spans="11:11" ht="15.75" customHeight="1" x14ac:dyDescent="0.45">
      <c r="K341" s="74"/>
    </row>
    <row r="342" spans="11:11" ht="15.75" customHeight="1" x14ac:dyDescent="0.45">
      <c r="K342" s="74"/>
    </row>
    <row r="343" spans="11:11" ht="15.75" customHeight="1" x14ac:dyDescent="0.45">
      <c r="K343" s="74"/>
    </row>
    <row r="344" spans="11:11" ht="15.75" customHeight="1" x14ac:dyDescent="0.45">
      <c r="K344" s="74"/>
    </row>
    <row r="345" spans="11:11" ht="15.75" customHeight="1" x14ac:dyDescent="0.45">
      <c r="K345" s="74"/>
    </row>
    <row r="346" spans="11:11" ht="15.75" customHeight="1" x14ac:dyDescent="0.45">
      <c r="K346" s="74"/>
    </row>
    <row r="347" spans="11:11" ht="15.75" customHeight="1" x14ac:dyDescent="0.45">
      <c r="K347" s="74"/>
    </row>
    <row r="348" spans="11:11" ht="15.75" customHeight="1" x14ac:dyDescent="0.45">
      <c r="K348" s="74"/>
    </row>
    <row r="349" spans="11:11" ht="15.75" customHeight="1" x14ac:dyDescent="0.45">
      <c r="K349" s="74"/>
    </row>
    <row r="350" spans="11:11" ht="15.75" customHeight="1" x14ac:dyDescent="0.45">
      <c r="K350" s="74"/>
    </row>
    <row r="351" spans="11:11" ht="15.75" customHeight="1" x14ac:dyDescent="0.45">
      <c r="K351" s="74"/>
    </row>
    <row r="352" spans="11:11" ht="15.75" customHeight="1" x14ac:dyDescent="0.45">
      <c r="K352" s="74"/>
    </row>
    <row r="353" spans="11:11" ht="15.75" customHeight="1" x14ac:dyDescent="0.45">
      <c r="K353" s="74"/>
    </row>
    <row r="354" spans="11:11" ht="15.75" customHeight="1" x14ac:dyDescent="0.45">
      <c r="K354" s="74"/>
    </row>
    <row r="355" spans="11:11" ht="15.75" customHeight="1" x14ac:dyDescent="0.45">
      <c r="K355" s="74"/>
    </row>
    <row r="356" spans="11:11" ht="15.75" customHeight="1" x14ac:dyDescent="0.45">
      <c r="K356" s="74"/>
    </row>
    <row r="357" spans="11:11" ht="15.75" customHeight="1" x14ac:dyDescent="0.45">
      <c r="K357" s="74"/>
    </row>
    <row r="358" spans="11:11" ht="15.75" customHeight="1" x14ac:dyDescent="0.45">
      <c r="K358" s="74"/>
    </row>
    <row r="359" spans="11:11" ht="15.75" customHeight="1" x14ac:dyDescent="0.45">
      <c r="K359" s="74"/>
    </row>
    <row r="360" spans="11:11" ht="15.75" customHeight="1" x14ac:dyDescent="0.45">
      <c r="K360" s="74"/>
    </row>
    <row r="361" spans="11:11" ht="15.75" customHeight="1" x14ac:dyDescent="0.45">
      <c r="K361" s="74"/>
    </row>
    <row r="362" spans="11:11" ht="15.75" customHeight="1" x14ac:dyDescent="0.45">
      <c r="K362" s="74"/>
    </row>
    <row r="363" spans="11:11" ht="15.75" customHeight="1" x14ac:dyDescent="0.45">
      <c r="K363" s="74"/>
    </row>
    <row r="364" spans="11:11" ht="15.75" customHeight="1" x14ac:dyDescent="0.45">
      <c r="K364" s="74"/>
    </row>
    <row r="365" spans="11:11" ht="15.75" customHeight="1" x14ac:dyDescent="0.45">
      <c r="K365" s="74"/>
    </row>
    <row r="366" spans="11:11" ht="15.75" customHeight="1" x14ac:dyDescent="0.45">
      <c r="K366" s="74"/>
    </row>
    <row r="367" spans="11:11" ht="15.75" customHeight="1" x14ac:dyDescent="0.45">
      <c r="K367" s="74"/>
    </row>
    <row r="368" spans="11:11" ht="15.75" customHeight="1" x14ac:dyDescent="0.45">
      <c r="K368" s="74"/>
    </row>
    <row r="369" spans="11:11" ht="15.75" customHeight="1" x14ac:dyDescent="0.45">
      <c r="K369" s="74"/>
    </row>
    <row r="370" spans="11:11" ht="15.75" customHeight="1" x14ac:dyDescent="0.45">
      <c r="K370" s="74"/>
    </row>
    <row r="371" spans="11:11" ht="15.75" customHeight="1" x14ac:dyDescent="0.45">
      <c r="K371" s="74"/>
    </row>
    <row r="372" spans="11:11" ht="15.75" customHeight="1" x14ac:dyDescent="0.45">
      <c r="K372" s="74"/>
    </row>
    <row r="373" spans="11:11" ht="15.75" customHeight="1" x14ac:dyDescent="0.45">
      <c r="K373" s="74"/>
    </row>
    <row r="374" spans="11:11" ht="15.75" customHeight="1" x14ac:dyDescent="0.45">
      <c r="K374" s="74"/>
    </row>
    <row r="375" spans="11:11" ht="15.75" customHeight="1" x14ac:dyDescent="0.45">
      <c r="K375" s="74"/>
    </row>
    <row r="376" spans="11:11" ht="15.75" customHeight="1" x14ac:dyDescent="0.45">
      <c r="K376" s="74"/>
    </row>
    <row r="377" spans="11:11" ht="15.75" customHeight="1" x14ac:dyDescent="0.45">
      <c r="K377" s="74"/>
    </row>
    <row r="378" spans="11:11" ht="15.75" customHeight="1" x14ac:dyDescent="0.45">
      <c r="K378" s="74"/>
    </row>
    <row r="379" spans="11:11" ht="15.75" customHeight="1" x14ac:dyDescent="0.45">
      <c r="K379" s="74"/>
    </row>
    <row r="380" spans="11:11" ht="15.75" customHeight="1" x14ac:dyDescent="0.45">
      <c r="K380" s="74"/>
    </row>
    <row r="381" spans="11:11" ht="15.75" customHeight="1" x14ac:dyDescent="0.45">
      <c r="K381" s="74"/>
    </row>
    <row r="382" spans="11:11" ht="15.75" customHeight="1" x14ac:dyDescent="0.45">
      <c r="K382" s="74"/>
    </row>
    <row r="383" spans="11:11" ht="15.75" customHeight="1" x14ac:dyDescent="0.45">
      <c r="K383" s="74"/>
    </row>
    <row r="384" spans="11:11" ht="15.75" customHeight="1" x14ac:dyDescent="0.45">
      <c r="K384" s="74"/>
    </row>
    <row r="385" spans="11:11" ht="15.75" customHeight="1" x14ac:dyDescent="0.45">
      <c r="K385" s="74"/>
    </row>
    <row r="386" spans="11:11" ht="15.75" customHeight="1" x14ac:dyDescent="0.45">
      <c r="K386" s="74"/>
    </row>
    <row r="387" spans="11:11" ht="15.75" customHeight="1" x14ac:dyDescent="0.45">
      <c r="K387" s="74"/>
    </row>
    <row r="388" spans="11:11" ht="15.75" customHeight="1" x14ac:dyDescent="0.45">
      <c r="K388" s="74"/>
    </row>
    <row r="389" spans="11:11" ht="15.75" customHeight="1" x14ac:dyDescent="0.45">
      <c r="K389" s="74"/>
    </row>
    <row r="390" spans="11:11" ht="15.75" customHeight="1" x14ac:dyDescent="0.45">
      <c r="K390" s="74"/>
    </row>
    <row r="391" spans="11:11" ht="15.75" customHeight="1" x14ac:dyDescent="0.45">
      <c r="K391" s="74"/>
    </row>
    <row r="392" spans="11:11" ht="15.75" customHeight="1" x14ac:dyDescent="0.45">
      <c r="K392" s="74"/>
    </row>
    <row r="393" spans="11:11" ht="15.75" customHeight="1" x14ac:dyDescent="0.45">
      <c r="K393" s="74"/>
    </row>
    <row r="394" spans="11:11" ht="15.75" customHeight="1" x14ac:dyDescent="0.45">
      <c r="K394" s="74"/>
    </row>
    <row r="395" spans="11:11" ht="15.75" customHeight="1" x14ac:dyDescent="0.45">
      <c r="K395" s="74"/>
    </row>
    <row r="396" spans="11:11" ht="15.75" customHeight="1" x14ac:dyDescent="0.45">
      <c r="K396" s="74"/>
    </row>
    <row r="397" spans="11:11" ht="15.75" customHeight="1" x14ac:dyDescent="0.45">
      <c r="K397" s="74"/>
    </row>
    <row r="398" spans="11:11" ht="15.75" customHeight="1" x14ac:dyDescent="0.45">
      <c r="K398" s="74"/>
    </row>
    <row r="399" spans="11:11" ht="15.75" customHeight="1" x14ac:dyDescent="0.45">
      <c r="K399" s="74"/>
    </row>
    <row r="400" spans="11:11" ht="15.75" customHeight="1" x14ac:dyDescent="0.45">
      <c r="K400" s="74"/>
    </row>
    <row r="401" spans="11:11" ht="15.75" customHeight="1" x14ac:dyDescent="0.45">
      <c r="K401" s="74"/>
    </row>
    <row r="402" spans="11:11" ht="15.75" customHeight="1" x14ac:dyDescent="0.45">
      <c r="K402" s="74"/>
    </row>
    <row r="403" spans="11:11" ht="15.75" customHeight="1" x14ac:dyDescent="0.45">
      <c r="K403" s="74"/>
    </row>
    <row r="404" spans="11:11" ht="15.75" customHeight="1" x14ac:dyDescent="0.45">
      <c r="K404" s="74"/>
    </row>
    <row r="405" spans="11:11" ht="15.75" customHeight="1" x14ac:dyDescent="0.45">
      <c r="K405" s="74"/>
    </row>
    <row r="406" spans="11:11" ht="15.75" customHeight="1" x14ac:dyDescent="0.45">
      <c r="K406" s="74"/>
    </row>
    <row r="407" spans="11:11" ht="15.75" customHeight="1" x14ac:dyDescent="0.45">
      <c r="K407" s="74"/>
    </row>
    <row r="408" spans="11:11" ht="15.75" customHeight="1" x14ac:dyDescent="0.45">
      <c r="K408" s="74"/>
    </row>
    <row r="409" spans="11:11" ht="15.75" customHeight="1" x14ac:dyDescent="0.45">
      <c r="K409" s="74"/>
    </row>
    <row r="410" spans="11:11" ht="15.75" customHeight="1" x14ac:dyDescent="0.45">
      <c r="K410" s="74"/>
    </row>
    <row r="411" spans="11:11" ht="15.75" customHeight="1" x14ac:dyDescent="0.45">
      <c r="K411" s="74"/>
    </row>
    <row r="412" spans="11:11" ht="15.75" customHeight="1" x14ac:dyDescent="0.45">
      <c r="K412" s="74"/>
    </row>
    <row r="413" spans="11:11" ht="15.75" customHeight="1" x14ac:dyDescent="0.45">
      <c r="K413" s="74"/>
    </row>
    <row r="414" spans="11:11" ht="15.75" customHeight="1" x14ac:dyDescent="0.45">
      <c r="K414" s="74"/>
    </row>
    <row r="415" spans="11:11" ht="15.75" customHeight="1" x14ac:dyDescent="0.45">
      <c r="K415" s="74"/>
    </row>
    <row r="416" spans="11:11" ht="15.75" customHeight="1" x14ac:dyDescent="0.45">
      <c r="K416" s="74"/>
    </row>
    <row r="417" spans="11:11" ht="15.75" customHeight="1" x14ac:dyDescent="0.45">
      <c r="K417" s="74"/>
    </row>
    <row r="418" spans="11:11" ht="15.75" customHeight="1" x14ac:dyDescent="0.45">
      <c r="K418" s="74"/>
    </row>
    <row r="419" spans="11:11" ht="15.75" customHeight="1" x14ac:dyDescent="0.45">
      <c r="K419" s="74"/>
    </row>
    <row r="420" spans="11:11" ht="15.75" customHeight="1" x14ac:dyDescent="0.45">
      <c r="K420" s="74"/>
    </row>
    <row r="421" spans="11:11" ht="15.75" customHeight="1" x14ac:dyDescent="0.45">
      <c r="K421" s="74"/>
    </row>
    <row r="422" spans="11:11" ht="15.75" customHeight="1" x14ac:dyDescent="0.45">
      <c r="K422" s="74"/>
    </row>
    <row r="423" spans="11:11" ht="15.75" customHeight="1" x14ac:dyDescent="0.45">
      <c r="K423" s="74"/>
    </row>
    <row r="424" spans="11:11" ht="15.75" customHeight="1" x14ac:dyDescent="0.45">
      <c r="K424" s="74"/>
    </row>
    <row r="425" spans="11:11" ht="15.75" customHeight="1" x14ac:dyDescent="0.45">
      <c r="K425" s="74"/>
    </row>
    <row r="426" spans="11:11" ht="15.75" customHeight="1" x14ac:dyDescent="0.45">
      <c r="K426" s="74"/>
    </row>
    <row r="427" spans="11:11" ht="15.75" customHeight="1" x14ac:dyDescent="0.45">
      <c r="K427" s="74"/>
    </row>
    <row r="428" spans="11:11" ht="15.75" customHeight="1" x14ac:dyDescent="0.45">
      <c r="K428" s="74"/>
    </row>
    <row r="429" spans="11:11" ht="15.75" customHeight="1" x14ac:dyDescent="0.45">
      <c r="K429" s="74"/>
    </row>
    <row r="430" spans="11:11" ht="15.75" customHeight="1" x14ac:dyDescent="0.45">
      <c r="K430" s="74"/>
    </row>
    <row r="431" spans="11:11" ht="15.75" customHeight="1" x14ac:dyDescent="0.45">
      <c r="K431" s="74"/>
    </row>
    <row r="432" spans="11:11" ht="15.75" customHeight="1" x14ac:dyDescent="0.45">
      <c r="K432" s="74"/>
    </row>
    <row r="433" spans="11:11" ht="15.75" customHeight="1" x14ac:dyDescent="0.45">
      <c r="K433" s="74"/>
    </row>
    <row r="434" spans="11:11" ht="15.75" customHeight="1" x14ac:dyDescent="0.45">
      <c r="K434" s="74"/>
    </row>
    <row r="435" spans="11:11" ht="15.75" customHeight="1" x14ac:dyDescent="0.45">
      <c r="K435" s="74"/>
    </row>
    <row r="436" spans="11:11" ht="15.75" customHeight="1" x14ac:dyDescent="0.45">
      <c r="K436" s="74"/>
    </row>
    <row r="437" spans="11:11" ht="15.75" customHeight="1" x14ac:dyDescent="0.45">
      <c r="K437" s="74"/>
    </row>
    <row r="438" spans="11:11" ht="15.75" customHeight="1" x14ac:dyDescent="0.45">
      <c r="K438" s="74"/>
    </row>
    <row r="439" spans="11:11" ht="15.75" customHeight="1" x14ac:dyDescent="0.45">
      <c r="K439" s="74"/>
    </row>
    <row r="440" spans="11:11" ht="15.75" customHeight="1" x14ac:dyDescent="0.45">
      <c r="K440" s="74"/>
    </row>
    <row r="441" spans="11:11" ht="15.75" customHeight="1" x14ac:dyDescent="0.45">
      <c r="K441" s="74"/>
    </row>
    <row r="442" spans="11:11" ht="15.75" customHeight="1" x14ac:dyDescent="0.45">
      <c r="K442" s="74"/>
    </row>
    <row r="443" spans="11:11" ht="15.75" customHeight="1" x14ac:dyDescent="0.45">
      <c r="K443" s="74"/>
    </row>
    <row r="444" spans="11:11" ht="15.75" customHeight="1" x14ac:dyDescent="0.45">
      <c r="K444" s="74"/>
    </row>
    <row r="445" spans="11:11" ht="15.75" customHeight="1" x14ac:dyDescent="0.45">
      <c r="K445" s="74"/>
    </row>
    <row r="446" spans="11:11" ht="15.75" customHeight="1" x14ac:dyDescent="0.45">
      <c r="K446" s="74"/>
    </row>
    <row r="447" spans="11:11" ht="15.75" customHeight="1" x14ac:dyDescent="0.45">
      <c r="K447" s="74"/>
    </row>
    <row r="448" spans="11:11" ht="15.75" customHeight="1" x14ac:dyDescent="0.45">
      <c r="K448" s="74"/>
    </row>
    <row r="449" spans="11:11" ht="15.75" customHeight="1" x14ac:dyDescent="0.45">
      <c r="K449" s="74"/>
    </row>
    <row r="450" spans="11:11" ht="15.75" customHeight="1" x14ac:dyDescent="0.45">
      <c r="K450" s="74"/>
    </row>
    <row r="451" spans="11:11" ht="15.75" customHeight="1" x14ac:dyDescent="0.45">
      <c r="K451" s="74"/>
    </row>
    <row r="452" spans="11:11" ht="15.75" customHeight="1" x14ac:dyDescent="0.45">
      <c r="K452" s="74"/>
    </row>
    <row r="453" spans="11:11" ht="15.75" customHeight="1" x14ac:dyDescent="0.45">
      <c r="K453" s="74"/>
    </row>
    <row r="454" spans="11:11" ht="15.75" customHeight="1" x14ac:dyDescent="0.45">
      <c r="K454" s="74"/>
    </row>
    <row r="455" spans="11:11" ht="15.75" customHeight="1" x14ac:dyDescent="0.45">
      <c r="K455" s="74"/>
    </row>
    <row r="456" spans="11:11" ht="15.75" customHeight="1" x14ac:dyDescent="0.45">
      <c r="K456" s="74"/>
    </row>
    <row r="457" spans="11:11" ht="15.75" customHeight="1" x14ac:dyDescent="0.45">
      <c r="K457" s="74"/>
    </row>
    <row r="458" spans="11:11" ht="15.75" customHeight="1" x14ac:dyDescent="0.45">
      <c r="K458" s="74"/>
    </row>
    <row r="459" spans="11:11" ht="15.75" customHeight="1" x14ac:dyDescent="0.45">
      <c r="K459" s="74"/>
    </row>
    <row r="460" spans="11:11" ht="15.75" customHeight="1" x14ac:dyDescent="0.45">
      <c r="K460" s="74"/>
    </row>
    <row r="461" spans="11:11" ht="15.75" customHeight="1" x14ac:dyDescent="0.45">
      <c r="K461" s="74"/>
    </row>
    <row r="462" spans="11:11" ht="15.75" customHeight="1" x14ac:dyDescent="0.45">
      <c r="K462" s="74"/>
    </row>
    <row r="463" spans="11:11" ht="15.75" customHeight="1" x14ac:dyDescent="0.45">
      <c r="K463" s="74"/>
    </row>
    <row r="464" spans="11:11" ht="15.75" customHeight="1" x14ac:dyDescent="0.45">
      <c r="K464" s="74"/>
    </row>
    <row r="465" spans="11:11" ht="15.75" customHeight="1" x14ac:dyDescent="0.45">
      <c r="K465" s="74"/>
    </row>
    <row r="466" spans="11:11" ht="15.75" customHeight="1" x14ac:dyDescent="0.45">
      <c r="K466" s="74"/>
    </row>
    <row r="467" spans="11:11" ht="15.75" customHeight="1" x14ac:dyDescent="0.45">
      <c r="K467" s="74"/>
    </row>
    <row r="468" spans="11:11" ht="15.75" customHeight="1" x14ac:dyDescent="0.45">
      <c r="K468" s="74"/>
    </row>
    <row r="469" spans="11:11" ht="15.75" customHeight="1" x14ac:dyDescent="0.45">
      <c r="K469" s="74"/>
    </row>
    <row r="470" spans="11:11" ht="15.75" customHeight="1" x14ac:dyDescent="0.45">
      <c r="K470" s="74"/>
    </row>
    <row r="471" spans="11:11" ht="15.75" customHeight="1" x14ac:dyDescent="0.45">
      <c r="K471" s="74"/>
    </row>
    <row r="472" spans="11:11" ht="15.75" customHeight="1" x14ac:dyDescent="0.45">
      <c r="K472" s="74"/>
    </row>
    <row r="473" spans="11:11" ht="15.75" customHeight="1" x14ac:dyDescent="0.45">
      <c r="K473" s="74"/>
    </row>
    <row r="474" spans="11:11" ht="15.75" customHeight="1" x14ac:dyDescent="0.45">
      <c r="K474" s="74"/>
    </row>
    <row r="475" spans="11:11" ht="15.75" customHeight="1" x14ac:dyDescent="0.45">
      <c r="K475" s="74"/>
    </row>
    <row r="476" spans="11:11" ht="15.75" customHeight="1" x14ac:dyDescent="0.45">
      <c r="K476" s="74"/>
    </row>
    <row r="477" spans="11:11" ht="15.75" customHeight="1" x14ac:dyDescent="0.45">
      <c r="K477" s="74"/>
    </row>
    <row r="478" spans="11:11" ht="15.75" customHeight="1" x14ac:dyDescent="0.45">
      <c r="K478" s="74"/>
    </row>
    <row r="479" spans="11:11" ht="15.75" customHeight="1" x14ac:dyDescent="0.45">
      <c r="K479" s="74"/>
    </row>
    <row r="480" spans="11:11" ht="15.75" customHeight="1" x14ac:dyDescent="0.45">
      <c r="K480" s="74"/>
    </row>
    <row r="481" spans="11:11" ht="15.75" customHeight="1" x14ac:dyDescent="0.45">
      <c r="K481" s="74"/>
    </row>
    <row r="482" spans="11:11" ht="15.75" customHeight="1" x14ac:dyDescent="0.45">
      <c r="K482" s="74"/>
    </row>
    <row r="483" spans="11:11" ht="15.75" customHeight="1" x14ac:dyDescent="0.45">
      <c r="K483" s="74"/>
    </row>
    <row r="484" spans="11:11" ht="15.75" customHeight="1" x14ac:dyDescent="0.45">
      <c r="K484" s="74"/>
    </row>
    <row r="485" spans="11:11" ht="15.75" customHeight="1" x14ac:dyDescent="0.45">
      <c r="K485" s="74"/>
    </row>
    <row r="486" spans="11:11" ht="15.75" customHeight="1" x14ac:dyDescent="0.45">
      <c r="K486" s="74"/>
    </row>
    <row r="487" spans="11:11" ht="15.75" customHeight="1" x14ac:dyDescent="0.45">
      <c r="K487" s="74"/>
    </row>
    <row r="488" spans="11:11" ht="15.75" customHeight="1" x14ac:dyDescent="0.45">
      <c r="K488" s="74"/>
    </row>
    <row r="489" spans="11:11" ht="15.75" customHeight="1" x14ac:dyDescent="0.45">
      <c r="K489" s="74"/>
    </row>
    <row r="490" spans="11:11" ht="15.75" customHeight="1" x14ac:dyDescent="0.45">
      <c r="K490" s="74"/>
    </row>
    <row r="491" spans="11:11" ht="15.75" customHeight="1" x14ac:dyDescent="0.45">
      <c r="K491" s="74"/>
    </row>
    <row r="492" spans="11:11" ht="15.75" customHeight="1" x14ac:dyDescent="0.45">
      <c r="K492" s="74"/>
    </row>
    <row r="493" spans="11:11" ht="15.75" customHeight="1" x14ac:dyDescent="0.45">
      <c r="K493" s="74"/>
    </row>
    <row r="494" spans="11:11" ht="15.75" customHeight="1" x14ac:dyDescent="0.45">
      <c r="K494" s="74"/>
    </row>
    <row r="495" spans="11:11" ht="15.75" customHeight="1" x14ac:dyDescent="0.45">
      <c r="K495" s="74"/>
    </row>
    <row r="496" spans="11:11" ht="15.75" customHeight="1" x14ac:dyDescent="0.45">
      <c r="K496" s="74"/>
    </row>
    <row r="497" spans="11:11" ht="15.75" customHeight="1" x14ac:dyDescent="0.45">
      <c r="K497" s="74"/>
    </row>
    <row r="498" spans="11:11" ht="15.75" customHeight="1" x14ac:dyDescent="0.45">
      <c r="K498" s="74"/>
    </row>
    <row r="499" spans="11:11" ht="15.75" customHeight="1" x14ac:dyDescent="0.45">
      <c r="K499" s="74"/>
    </row>
    <row r="500" spans="11:11" ht="15.75" customHeight="1" x14ac:dyDescent="0.45">
      <c r="K500" s="74"/>
    </row>
    <row r="501" spans="11:11" ht="15.75" customHeight="1" x14ac:dyDescent="0.45">
      <c r="K501" s="74"/>
    </row>
    <row r="502" spans="11:11" ht="15.75" customHeight="1" x14ac:dyDescent="0.45">
      <c r="K502" s="74"/>
    </row>
    <row r="503" spans="11:11" ht="15.75" customHeight="1" x14ac:dyDescent="0.45">
      <c r="K503" s="74"/>
    </row>
    <row r="504" spans="11:11" ht="15.75" customHeight="1" x14ac:dyDescent="0.45">
      <c r="K504" s="74"/>
    </row>
    <row r="505" spans="11:11" ht="15.75" customHeight="1" x14ac:dyDescent="0.45">
      <c r="K505" s="74"/>
    </row>
    <row r="506" spans="11:11" ht="15.75" customHeight="1" x14ac:dyDescent="0.45">
      <c r="K506" s="74"/>
    </row>
    <row r="507" spans="11:11" ht="15.75" customHeight="1" x14ac:dyDescent="0.45">
      <c r="K507" s="74"/>
    </row>
    <row r="508" spans="11:11" ht="15.75" customHeight="1" x14ac:dyDescent="0.45">
      <c r="K508" s="74"/>
    </row>
    <row r="509" spans="11:11" ht="15.75" customHeight="1" x14ac:dyDescent="0.45">
      <c r="K509" s="74"/>
    </row>
    <row r="510" spans="11:11" ht="15.75" customHeight="1" x14ac:dyDescent="0.45">
      <c r="K510" s="74"/>
    </row>
    <row r="511" spans="11:11" ht="15.75" customHeight="1" x14ac:dyDescent="0.45">
      <c r="K511" s="74"/>
    </row>
    <row r="512" spans="11:11" ht="15.75" customHeight="1" x14ac:dyDescent="0.45">
      <c r="K512" s="74"/>
    </row>
    <row r="513" spans="11:11" ht="15.75" customHeight="1" x14ac:dyDescent="0.45">
      <c r="K513" s="74"/>
    </row>
    <row r="514" spans="11:11" ht="15.75" customHeight="1" x14ac:dyDescent="0.45">
      <c r="K514" s="74"/>
    </row>
    <row r="515" spans="11:11" ht="15.75" customHeight="1" x14ac:dyDescent="0.45">
      <c r="K515" s="74"/>
    </row>
    <row r="516" spans="11:11" ht="15.75" customHeight="1" x14ac:dyDescent="0.45">
      <c r="K516" s="74"/>
    </row>
    <row r="517" spans="11:11" ht="15.75" customHeight="1" x14ac:dyDescent="0.45">
      <c r="K517" s="74"/>
    </row>
    <row r="518" spans="11:11" ht="15.75" customHeight="1" x14ac:dyDescent="0.45">
      <c r="K518" s="74"/>
    </row>
    <row r="519" spans="11:11" ht="15.75" customHeight="1" x14ac:dyDescent="0.45">
      <c r="K519" s="74"/>
    </row>
    <row r="520" spans="11:11" ht="15.75" customHeight="1" x14ac:dyDescent="0.45">
      <c r="K520" s="74"/>
    </row>
    <row r="521" spans="11:11" ht="15.75" customHeight="1" x14ac:dyDescent="0.45">
      <c r="K521" s="74"/>
    </row>
    <row r="522" spans="11:11" ht="15.75" customHeight="1" x14ac:dyDescent="0.45">
      <c r="K522" s="74"/>
    </row>
    <row r="523" spans="11:11" ht="15.75" customHeight="1" x14ac:dyDescent="0.45">
      <c r="K523" s="74"/>
    </row>
    <row r="524" spans="11:11" ht="15.75" customHeight="1" x14ac:dyDescent="0.45">
      <c r="K524" s="74"/>
    </row>
    <row r="525" spans="11:11" ht="15.75" customHeight="1" x14ac:dyDescent="0.45">
      <c r="K525" s="74"/>
    </row>
    <row r="526" spans="11:11" ht="15.75" customHeight="1" x14ac:dyDescent="0.45">
      <c r="K526" s="74"/>
    </row>
    <row r="527" spans="11:11" ht="15.75" customHeight="1" x14ac:dyDescent="0.45">
      <c r="K527" s="74"/>
    </row>
    <row r="528" spans="11:11" ht="15.75" customHeight="1" x14ac:dyDescent="0.45">
      <c r="K528" s="74"/>
    </row>
    <row r="529" spans="11:11" ht="15.75" customHeight="1" x14ac:dyDescent="0.45">
      <c r="K529" s="74"/>
    </row>
    <row r="530" spans="11:11" ht="15.75" customHeight="1" x14ac:dyDescent="0.45">
      <c r="K530" s="74"/>
    </row>
    <row r="531" spans="11:11" ht="15.75" customHeight="1" x14ac:dyDescent="0.45">
      <c r="K531" s="74"/>
    </row>
    <row r="532" spans="11:11" ht="15.75" customHeight="1" x14ac:dyDescent="0.45">
      <c r="K532" s="74"/>
    </row>
    <row r="533" spans="11:11" ht="15.75" customHeight="1" x14ac:dyDescent="0.45">
      <c r="K533" s="74"/>
    </row>
    <row r="534" spans="11:11" ht="15.75" customHeight="1" x14ac:dyDescent="0.45">
      <c r="K534" s="74"/>
    </row>
    <row r="535" spans="11:11" ht="15.75" customHeight="1" x14ac:dyDescent="0.45">
      <c r="K535" s="74"/>
    </row>
    <row r="536" spans="11:11" ht="15.75" customHeight="1" x14ac:dyDescent="0.45">
      <c r="K536" s="74"/>
    </row>
    <row r="537" spans="11:11" ht="15.75" customHeight="1" x14ac:dyDescent="0.45">
      <c r="K537" s="74"/>
    </row>
    <row r="538" spans="11:11" ht="15.75" customHeight="1" x14ac:dyDescent="0.45">
      <c r="K538" s="74"/>
    </row>
    <row r="539" spans="11:11" ht="15.75" customHeight="1" x14ac:dyDescent="0.45">
      <c r="K539" s="74"/>
    </row>
    <row r="540" spans="11:11" ht="15.75" customHeight="1" x14ac:dyDescent="0.45">
      <c r="K540" s="74"/>
    </row>
    <row r="541" spans="11:11" ht="15.75" customHeight="1" x14ac:dyDescent="0.45">
      <c r="K541" s="74"/>
    </row>
    <row r="542" spans="11:11" ht="15.75" customHeight="1" x14ac:dyDescent="0.45">
      <c r="K542" s="74"/>
    </row>
    <row r="543" spans="11:11" ht="15.75" customHeight="1" x14ac:dyDescent="0.45">
      <c r="K543" s="74"/>
    </row>
    <row r="544" spans="11:11" ht="15.75" customHeight="1" x14ac:dyDescent="0.45">
      <c r="K544" s="74"/>
    </row>
    <row r="545" spans="11:11" ht="15.75" customHeight="1" x14ac:dyDescent="0.45">
      <c r="K545" s="74"/>
    </row>
    <row r="546" spans="11:11" ht="15.75" customHeight="1" x14ac:dyDescent="0.45">
      <c r="K546" s="74"/>
    </row>
    <row r="547" spans="11:11" ht="15.75" customHeight="1" x14ac:dyDescent="0.45">
      <c r="K547" s="74"/>
    </row>
    <row r="548" spans="11:11" ht="15.75" customHeight="1" x14ac:dyDescent="0.45">
      <c r="K548" s="74"/>
    </row>
    <row r="549" spans="11:11" ht="15.75" customHeight="1" x14ac:dyDescent="0.45">
      <c r="K549" s="74"/>
    </row>
    <row r="550" spans="11:11" ht="15.75" customHeight="1" x14ac:dyDescent="0.45">
      <c r="K550" s="74"/>
    </row>
    <row r="551" spans="11:11" ht="15.75" customHeight="1" x14ac:dyDescent="0.45">
      <c r="K551" s="74"/>
    </row>
    <row r="552" spans="11:11" ht="15.75" customHeight="1" x14ac:dyDescent="0.45">
      <c r="K552" s="74"/>
    </row>
    <row r="553" spans="11:11" ht="15.75" customHeight="1" x14ac:dyDescent="0.45">
      <c r="K553" s="74"/>
    </row>
    <row r="554" spans="11:11" ht="15.75" customHeight="1" x14ac:dyDescent="0.45">
      <c r="K554" s="74"/>
    </row>
    <row r="555" spans="11:11" ht="15.75" customHeight="1" x14ac:dyDescent="0.45">
      <c r="K555" s="74"/>
    </row>
    <row r="556" spans="11:11" ht="15.75" customHeight="1" x14ac:dyDescent="0.45">
      <c r="K556" s="74"/>
    </row>
    <row r="557" spans="11:11" ht="15.75" customHeight="1" x14ac:dyDescent="0.45">
      <c r="K557" s="74"/>
    </row>
    <row r="558" spans="11:11" ht="15.75" customHeight="1" x14ac:dyDescent="0.45">
      <c r="K558" s="74"/>
    </row>
    <row r="559" spans="11:11" ht="15.75" customHeight="1" x14ac:dyDescent="0.45">
      <c r="K559" s="74"/>
    </row>
    <row r="560" spans="11:11" ht="15.75" customHeight="1" x14ac:dyDescent="0.45">
      <c r="K560" s="74"/>
    </row>
    <row r="561" spans="11:11" ht="15.75" customHeight="1" x14ac:dyDescent="0.45">
      <c r="K561" s="74"/>
    </row>
    <row r="562" spans="11:11" ht="15.75" customHeight="1" x14ac:dyDescent="0.45">
      <c r="K562" s="74"/>
    </row>
    <row r="563" spans="11:11" ht="15.75" customHeight="1" x14ac:dyDescent="0.45">
      <c r="K563" s="74"/>
    </row>
    <row r="564" spans="11:11" ht="15.75" customHeight="1" x14ac:dyDescent="0.45">
      <c r="K564" s="74"/>
    </row>
    <row r="565" spans="11:11" ht="15.75" customHeight="1" x14ac:dyDescent="0.45">
      <c r="K565" s="74"/>
    </row>
    <row r="566" spans="11:11" ht="15.75" customHeight="1" x14ac:dyDescent="0.45">
      <c r="K566" s="74"/>
    </row>
    <row r="567" spans="11:11" ht="15.75" customHeight="1" x14ac:dyDescent="0.45">
      <c r="K567" s="74"/>
    </row>
    <row r="568" spans="11:11" ht="15.75" customHeight="1" x14ac:dyDescent="0.45">
      <c r="K568" s="74"/>
    </row>
    <row r="569" spans="11:11" ht="15.75" customHeight="1" x14ac:dyDescent="0.45">
      <c r="K569" s="74"/>
    </row>
    <row r="570" spans="11:11" ht="15.75" customHeight="1" x14ac:dyDescent="0.45">
      <c r="K570" s="74"/>
    </row>
    <row r="571" spans="11:11" ht="15.75" customHeight="1" x14ac:dyDescent="0.45">
      <c r="K571" s="74"/>
    </row>
    <row r="572" spans="11:11" ht="15.75" customHeight="1" x14ac:dyDescent="0.45">
      <c r="K572" s="74"/>
    </row>
    <row r="573" spans="11:11" ht="15.75" customHeight="1" x14ac:dyDescent="0.45">
      <c r="K573" s="74"/>
    </row>
    <row r="574" spans="11:11" ht="15.75" customHeight="1" x14ac:dyDescent="0.45">
      <c r="K574" s="74"/>
    </row>
    <row r="575" spans="11:11" ht="15.75" customHeight="1" x14ac:dyDescent="0.45">
      <c r="K575" s="74"/>
    </row>
    <row r="576" spans="11:11" ht="15.75" customHeight="1" x14ac:dyDescent="0.45">
      <c r="K576" s="74"/>
    </row>
    <row r="577" spans="11:11" ht="15.75" customHeight="1" x14ac:dyDescent="0.45">
      <c r="K577" s="74"/>
    </row>
    <row r="578" spans="11:11" ht="15.75" customHeight="1" x14ac:dyDescent="0.45">
      <c r="K578" s="74"/>
    </row>
    <row r="579" spans="11:11" ht="15.75" customHeight="1" x14ac:dyDescent="0.45">
      <c r="K579" s="74"/>
    </row>
    <row r="580" spans="11:11" ht="15.75" customHeight="1" x14ac:dyDescent="0.45">
      <c r="K580" s="74"/>
    </row>
    <row r="581" spans="11:11" ht="15.75" customHeight="1" x14ac:dyDescent="0.45">
      <c r="K581" s="74"/>
    </row>
    <row r="582" spans="11:11" ht="15.75" customHeight="1" x14ac:dyDescent="0.45">
      <c r="K582" s="74"/>
    </row>
    <row r="583" spans="11:11" ht="15.75" customHeight="1" x14ac:dyDescent="0.45">
      <c r="K583" s="74"/>
    </row>
    <row r="584" spans="11:11" ht="15.75" customHeight="1" x14ac:dyDescent="0.45">
      <c r="K584" s="74"/>
    </row>
    <row r="585" spans="11:11" ht="15.75" customHeight="1" x14ac:dyDescent="0.45">
      <c r="K585" s="74"/>
    </row>
    <row r="586" spans="11:11" ht="15.75" customHeight="1" x14ac:dyDescent="0.45">
      <c r="K586" s="74"/>
    </row>
    <row r="587" spans="11:11" ht="15.75" customHeight="1" x14ac:dyDescent="0.45">
      <c r="K587" s="74"/>
    </row>
    <row r="588" spans="11:11" ht="15.75" customHeight="1" x14ac:dyDescent="0.45">
      <c r="K588" s="74"/>
    </row>
    <row r="589" spans="11:11" ht="15.75" customHeight="1" x14ac:dyDescent="0.45">
      <c r="K589" s="74"/>
    </row>
    <row r="590" spans="11:11" ht="15.75" customHeight="1" x14ac:dyDescent="0.45">
      <c r="K590" s="74"/>
    </row>
    <row r="591" spans="11:11" ht="15.75" customHeight="1" x14ac:dyDescent="0.45">
      <c r="K591" s="74"/>
    </row>
    <row r="592" spans="11:11" ht="15.75" customHeight="1" x14ac:dyDescent="0.45">
      <c r="K592" s="74"/>
    </row>
    <row r="593" spans="11:11" ht="15.75" customHeight="1" x14ac:dyDescent="0.45">
      <c r="K593" s="74"/>
    </row>
    <row r="594" spans="11:11" ht="15.75" customHeight="1" x14ac:dyDescent="0.45">
      <c r="K594" s="74"/>
    </row>
    <row r="595" spans="11:11" ht="15.75" customHeight="1" x14ac:dyDescent="0.45">
      <c r="K595" s="74"/>
    </row>
    <row r="596" spans="11:11" ht="15.75" customHeight="1" x14ac:dyDescent="0.45">
      <c r="K596" s="74"/>
    </row>
    <row r="597" spans="11:11" ht="15.75" customHeight="1" x14ac:dyDescent="0.45">
      <c r="K597" s="74"/>
    </row>
    <row r="598" spans="11:11" ht="15.75" customHeight="1" x14ac:dyDescent="0.45">
      <c r="K598" s="74"/>
    </row>
    <row r="599" spans="11:11" ht="15.75" customHeight="1" x14ac:dyDescent="0.45">
      <c r="K599" s="74"/>
    </row>
    <row r="600" spans="11:11" ht="15.75" customHeight="1" x14ac:dyDescent="0.45">
      <c r="K600" s="74"/>
    </row>
    <row r="601" spans="11:11" ht="15.75" customHeight="1" x14ac:dyDescent="0.45">
      <c r="K601" s="74"/>
    </row>
    <row r="602" spans="11:11" ht="15.75" customHeight="1" x14ac:dyDescent="0.45">
      <c r="K602" s="74"/>
    </row>
    <row r="603" spans="11:11" ht="15.75" customHeight="1" x14ac:dyDescent="0.45">
      <c r="K603" s="74"/>
    </row>
    <row r="604" spans="11:11" ht="15.75" customHeight="1" x14ac:dyDescent="0.45">
      <c r="K604" s="74"/>
    </row>
    <row r="605" spans="11:11" ht="15.75" customHeight="1" x14ac:dyDescent="0.45">
      <c r="K605" s="74"/>
    </row>
    <row r="606" spans="11:11" ht="15.75" customHeight="1" x14ac:dyDescent="0.45">
      <c r="K606" s="74"/>
    </row>
    <row r="607" spans="11:11" ht="15.75" customHeight="1" x14ac:dyDescent="0.45">
      <c r="K607" s="74"/>
    </row>
    <row r="608" spans="11:11" ht="15.75" customHeight="1" x14ac:dyDescent="0.45">
      <c r="K608" s="74"/>
    </row>
    <row r="609" spans="11:11" ht="15.75" customHeight="1" x14ac:dyDescent="0.45">
      <c r="K609" s="74"/>
    </row>
    <row r="610" spans="11:11" ht="15.75" customHeight="1" x14ac:dyDescent="0.45">
      <c r="K610" s="74"/>
    </row>
    <row r="611" spans="11:11" ht="15.75" customHeight="1" x14ac:dyDescent="0.45">
      <c r="K611" s="74"/>
    </row>
    <row r="612" spans="11:11" ht="15.75" customHeight="1" x14ac:dyDescent="0.45">
      <c r="K612" s="74"/>
    </row>
    <row r="613" spans="11:11" ht="15.75" customHeight="1" x14ac:dyDescent="0.45">
      <c r="K613" s="74"/>
    </row>
    <row r="614" spans="11:11" ht="15.75" customHeight="1" x14ac:dyDescent="0.45">
      <c r="K614" s="74"/>
    </row>
    <row r="615" spans="11:11" ht="15.75" customHeight="1" x14ac:dyDescent="0.45">
      <c r="K615" s="74"/>
    </row>
    <row r="616" spans="11:11" ht="15.75" customHeight="1" x14ac:dyDescent="0.45">
      <c r="K616" s="74"/>
    </row>
    <row r="617" spans="11:11" ht="15.75" customHeight="1" x14ac:dyDescent="0.45">
      <c r="K617" s="74"/>
    </row>
    <row r="618" spans="11:11" ht="15.75" customHeight="1" x14ac:dyDescent="0.45">
      <c r="K618" s="74"/>
    </row>
    <row r="619" spans="11:11" ht="15.75" customHeight="1" x14ac:dyDescent="0.45">
      <c r="K619" s="74"/>
    </row>
    <row r="620" spans="11:11" ht="15.75" customHeight="1" x14ac:dyDescent="0.45">
      <c r="K620" s="74"/>
    </row>
    <row r="621" spans="11:11" ht="15.75" customHeight="1" x14ac:dyDescent="0.45">
      <c r="K621" s="74"/>
    </row>
    <row r="622" spans="11:11" ht="15.75" customHeight="1" x14ac:dyDescent="0.45">
      <c r="K622" s="74"/>
    </row>
    <row r="623" spans="11:11" ht="15.75" customHeight="1" x14ac:dyDescent="0.45">
      <c r="K623" s="74"/>
    </row>
    <row r="624" spans="11:11" ht="15.75" customHeight="1" x14ac:dyDescent="0.45">
      <c r="K624" s="74"/>
    </row>
    <row r="625" spans="11:11" ht="15.75" customHeight="1" x14ac:dyDescent="0.45">
      <c r="K625" s="74"/>
    </row>
    <row r="626" spans="11:11" ht="15.75" customHeight="1" x14ac:dyDescent="0.45">
      <c r="K626" s="74"/>
    </row>
    <row r="627" spans="11:11" ht="15.75" customHeight="1" x14ac:dyDescent="0.45">
      <c r="K627" s="74"/>
    </row>
    <row r="628" spans="11:11" ht="15.75" customHeight="1" x14ac:dyDescent="0.45">
      <c r="K628" s="74"/>
    </row>
    <row r="629" spans="11:11" ht="15.75" customHeight="1" x14ac:dyDescent="0.45">
      <c r="K629" s="74"/>
    </row>
    <row r="630" spans="11:11" ht="15.75" customHeight="1" x14ac:dyDescent="0.45">
      <c r="K630" s="74"/>
    </row>
    <row r="631" spans="11:11" ht="15.75" customHeight="1" x14ac:dyDescent="0.45">
      <c r="K631" s="74"/>
    </row>
    <row r="632" spans="11:11" ht="15.75" customHeight="1" x14ac:dyDescent="0.45">
      <c r="K632" s="74"/>
    </row>
    <row r="633" spans="11:11" ht="15.75" customHeight="1" x14ac:dyDescent="0.45">
      <c r="K633" s="74"/>
    </row>
    <row r="634" spans="11:11" ht="15.75" customHeight="1" x14ac:dyDescent="0.45">
      <c r="K634" s="74"/>
    </row>
    <row r="635" spans="11:11" ht="15.75" customHeight="1" x14ac:dyDescent="0.45">
      <c r="K635" s="74"/>
    </row>
    <row r="636" spans="11:11" ht="15.75" customHeight="1" x14ac:dyDescent="0.45">
      <c r="K636" s="74"/>
    </row>
    <row r="637" spans="11:11" ht="15.75" customHeight="1" x14ac:dyDescent="0.45">
      <c r="K637" s="74"/>
    </row>
    <row r="638" spans="11:11" ht="15.75" customHeight="1" x14ac:dyDescent="0.45">
      <c r="K638" s="74"/>
    </row>
    <row r="639" spans="11:11" ht="15.75" customHeight="1" x14ac:dyDescent="0.45">
      <c r="K639" s="74"/>
    </row>
    <row r="640" spans="11:11" ht="15.75" customHeight="1" x14ac:dyDescent="0.45">
      <c r="K640" s="74"/>
    </row>
    <row r="641" spans="11:11" ht="15.75" customHeight="1" x14ac:dyDescent="0.45">
      <c r="K641" s="74"/>
    </row>
    <row r="642" spans="11:11" ht="15.75" customHeight="1" x14ac:dyDescent="0.45">
      <c r="K642" s="74"/>
    </row>
    <row r="643" spans="11:11" ht="15.75" customHeight="1" x14ac:dyDescent="0.45">
      <c r="K643" s="74"/>
    </row>
    <row r="644" spans="11:11" ht="15.75" customHeight="1" x14ac:dyDescent="0.45">
      <c r="K644" s="74"/>
    </row>
    <row r="645" spans="11:11" ht="15.75" customHeight="1" x14ac:dyDescent="0.45">
      <c r="K645" s="74"/>
    </row>
    <row r="646" spans="11:11" ht="15.75" customHeight="1" x14ac:dyDescent="0.45">
      <c r="K646" s="74"/>
    </row>
    <row r="647" spans="11:11" ht="15.75" customHeight="1" x14ac:dyDescent="0.45">
      <c r="K647" s="74"/>
    </row>
    <row r="648" spans="11:11" ht="15.75" customHeight="1" x14ac:dyDescent="0.45">
      <c r="K648" s="74"/>
    </row>
    <row r="649" spans="11:11" ht="15.75" customHeight="1" x14ac:dyDescent="0.45">
      <c r="K649" s="74"/>
    </row>
    <row r="650" spans="11:11" ht="15.75" customHeight="1" x14ac:dyDescent="0.45">
      <c r="K650" s="74"/>
    </row>
    <row r="651" spans="11:11" ht="15.75" customHeight="1" x14ac:dyDescent="0.45">
      <c r="K651" s="74"/>
    </row>
    <row r="652" spans="11:11" ht="15.75" customHeight="1" x14ac:dyDescent="0.45">
      <c r="K652" s="74"/>
    </row>
    <row r="653" spans="11:11" ht="15.75" customHeight="1" x14ac:dyDescent="0.45">
      <c r="K653" s="74"/>
    </row>
    <row r="654" spans="11:11" ht="15.75" customHeight="1" x14ac:dyDescent="0.45">
      <c r="K654" s="74"/>
    </row>
    <row r="655" spans="11:11" ht="15.75" customHeight="1" x14ac:dyDescent="0.45">
      <c r="K655" s="74"/>
    </row>
    <row r="656" spans="11:11" ht="15.75" customHeight="1" x14ac:dyDescent="0.45">
      <c r="K656" s="74"/>
    </row>
    <row r="657" spans="11:11" ht="15.75" customHeight="1" x14ac:dyDescent="0.45">
      <c r="K657" s="74"/>
    </row>
    <row r="658" spans="11:11" ht="15.75" customHeight="1" x14ac:dyDescent="0.45">
      <c r="K658" s="74"/>
    </row>
    <row r="659" spans="11:11" ht="15.75" customHeight="1" x14ac:dyDescent="0.45">
      <c r="K659" s="74"/>
    </row>
    <row r="660" spans="11:11" ht="15.75" customHeight="1" x14ac:dyDescent="0.45">
      <c r="K660" s="74"/>
    </row>
    <row r="661" spans="11:11" ht="15.75" customHeight="1" x14ac:dyDescent="0.45">
      <c r="K661" s="74"/>
    </row>
    <row r="662" spans="11:11" ht="15.75" customHeight="1" x14ac:dyDescent="0.45">
      <c r="K662" s="74"/>
    </row>
    <row r="663" spans="11:11" ht="15.75" customHeight="1" x14ac:dyDescent="0.45">
      <c r="K663" s="74"/>
    </row>
    <row r="664" spans="11:11" ht="15.75" customHeight="1" x14ac:dyDescent="0.45">
      <c r="K664" s="74"/>
    </row>
    <row r="665" spans="11:11" ht="15.75" customHeight="1" x14ac:dyDescent="0.45">
      <c r="K665" s="74"/>
    </row>
    <row r="666" spans="11:11" ht="15.75" customHeight="1" x14ac:dyDescent="0.45">
      <c r="K666" s="74"/>
    </row>
    <row r="667" spans="11:11" ht="15.75" customHeight="1" x14ac:dyDescent="0.45">
      <c r="K667" s="74"/>
    </row>
    <row r="668" spans="11:11" ht="15.75" customHeight="1" x14ac:dyDescent="0.45">
      <c r="K668" s="74"/>
    </row>
    <row r="669" spans="11:11" ht="15.75" customHeight="1" x14ac:dyDescent="0.45">
      <c r="K669" s="74"/>
    </row>
    <row r="670" spans="11:11" ht="15.75" customHeight="1" x14ac:dyDescent="0.45">
      <c r="K670" s="74"/>
    </row>
    <row r="671" spans="11:11" ht="15.75" customHeight="1" x14ac:dyDescent="0.45">
      <c r="K671" s="74"/>
    </row>
    <row r="672" spans="11:11" ht="15.75" customHeight="1" x14ac:dyDescent="0.45">
      <c r="K672" s="74"/>
    </row>
    <row r="673" spans="11:11" ht="15.75" customHeight="1" x14ac:dyDescent="0.45">
      <c r="K673" s="74"/>
    </row>
    <row r="674" spans="11:11" ht="15.75" customHeight="1" x14ac:dyDescent="0.45">
      <c r="K674" s="74"/>
    </row>
    <row r="675" spans="11:11" ht="15.75" customHeight="1" x14ac:dyDescent="0.45">
      <c r="K675" s="74"/>
    </row>
    <row r="676" spans="11:11" ht="15.75" customHeight="1" x14ac:dyDescent="0.45">
      <c r="K676" s="74"/>
    </row>
    <row r="677" spans="11:11" ht="15.75" customHeight="1" x14ac:dyDescent="0.45">
      <c r="K677" s="74"/>
    </row>
    <row r="678" spans="11:11" ht="15.75" customHeight="1" x14ac:dyDescent="0.45">
      <c r="K678" s="74"/>
    </row>
    <row r="679" spans="11:11" ht="15.75" customHeight="1" x14ac:dyDescent="0.45">
      <c r="K679" s="74"/>
    </row>
    <row r="680" spans="11:11" ht="15.75" customHeight="1" x14ac:dyDescent="0.45">
      <c r="K680" s="74"/>
    </row>
    <row r="681" spans="11:11" ht="15.75" customHeight="1" x14ac:dyDescent="0.45">
      <c r="K681" s="74"/>
    </row>
    <row r="682" spans="11:11" ht="15.75" customHeight="1" x14ac:dyDescent="0.45">
      <c r="K682" s="74"/>
    </row>
    <row r="683" spans="11:11" ht="15.75" customHeight="1" x14ac:dyDescent="0.45">
      <c r="K683" s="74"/>
    </row>
    <row r="684" spans="11:11" ht="15.75" customHeight="1" x14ac:dyDescent="0.45">
      <c r="K684" s="74"/>
    </row>
    <row r="685" spans="11:11" ht="15.75" customHeight="1" x14ac:dyDescent="0.45">
      <c r="K685" s="74"/>
    </row>
    <row r="686" spans="11:11" ht="15.75" customHeight="1" x14ac:dyDescent="0.45">
      <c r="K686" s="74"/>
    </row>
    <row r="687" spans="11:11" ht="15.75" customHeight="1" x14ac:dyDescent="0.45">
      <c r="K687" s="74"/>
    </row>
    <row r="688" spans="11:11" ht="15.75" customHeight="1" x14ac:dyDescent="0.45">
      <c r="K688" s="74"/>
    </row>
    <row r="689" spans="11:11" ht="15.75" customHeight="1" x14ac:dyDescent="0.45">
      <c r="K689" s="74"/>
    </row>
    <row r="690" spans="11:11" ht="15.75" customHeight="1" x14ac:dyDescent="0.45">
      <c r="K690" s="74"/>
    </row>
    <row r="691" spans="11:11" ht="15.75" customHeight="1" x14ac:dyDescent="0.45">
      <c r="K691" s="74"/>
    </row>
    <row r="692" spans="11:11" ht="15.75" customHeight="1" x14ac:dyDescent="0.45">
      <c r="K692" s="74"/>
    </row>
    <row r="693" spans="11:11" ht="15.75" customHeight="1" x14ac:dyDescent="0.45">
      <c r="K693" s="74"/>
    </row>
    <row r="694" spans="11:11" ht="15.75" customHeight="1" x14ac:dyDescent="0.45">
      <c r="K694" s="74"/>
    </row>
    <row r="695" spans="11:11" ht="15.75" customHeight="1" x14ac:dyDescent="0.45">
      <c r="K695" s="74"/>
    </row>
    <row r="696" spans="11:11" ht="15.75" customHeight="1" x14ac:dyDescent="0.45">
      <c r="K696" s="74"/>
    </row>
    <row r="697" spans="11:11" ht="15.75" customHeight="1" x14ac:dyDescent="0.45">
      <c r="K697" s="74"/>
    </row>
    <row r="698" spans="11:11" ht="15.75" customHeight="1" x14ac:dyDescent="0.45">
      <c r="K698" s="74"/>
    </row>
    <row r="699" spans="11:11" ht="15.75" customHeight="1" x14ac:dyDescent="0.45">
      <c r="K699" s="74"/>
    </row>
    <row r="700" spans="11:11" ht="15.75" customHeight="1" x14ac:dyDescent="0.45">
      <c r="K700" s="74"/>
    </row>
    <row r="701" spans="11:11" ht="15.75" customHeight="1" x14ac:dyDescent="0.45">
      <c r="K701" s="74"/>
    </row>
    <row r="702" spans="11:11" ht="15.75" customHeight="1" x14ac:dyDescent="0.45">
      <c r="K702" s="74"/>
    </row>
    <row r="703" spans="11:11" ht="15.75" customHeight="1" x14ac:dyDescent="0.45">
      <c r="K703" s="74"/>
    </row>
    <row r="704" spans="11:11" ht="15.75" customHeight="1" x14ac:dyDescent="0.45">
      <c r="K704" s="74"/>
    </row>
    <row r="705" spans="11:11" ht="15.75" customHeight="1" x14ac:dyDescent="0.45">
      <c r="K705" s="74"/>
    </row>
    <row r="706" spans="11:11" ht="15.75" customHeight="1" x14ac:dyDescent="0.45">
      <c r="K706" s="74"/>
    </row>
    <row r="707" spans="11:11" ht="15.75" customHeight="1" x14ac:dyDescent="0.45">
      <c r="K707" s="74"/>
    </row>
    <row r="708" spans="11:11" ht="15.75" customHeight="1" x14ac:dyDescent="0.45">
      <c r="K708" s="74"/>
    </row>
    <row r="709" spans="11:11" ht="15.75" customHeight="1" x14ac:dyDescent="0.45">
      <c r="K709" s="74"/>
    </row>
    <row r="710" spans="11:11" ht="15.75" customHeight="1" x14ac:dyDescent="0.45">
      <c r="K710" s="74"/>
    </row>
    <row r="711" spans="11:11" ht="15.75" customHeight="1" x14ac:dyDescent="0.45">
      <c r="K711" s="74"/>
    </row>
    <row r="712" spans="11:11" ht="15.75" customHeight="1" x14ac:dyDescent="0.45">
      <c r="K712" s="74"/>
    </row>
    <row r="713" spans="11:11" ht="15.75" customHeight="1" x14ac:dyDescent="0.45">
      <c r="K713" s="74"/>
    </row>
    <row r="714" spans="11:11" ht="15.75" customHeight="1" x14ac:dyDescent="0.45">
      <c r="K714" s="74"/>
    </row>
    <row r="715" spans="11:11" ht="15.75" customHeight="1" x14ac:dyDescent="0.45">
      <c r="K715" s="74"/>
    </row>
    <row r="716" spans="11:11" ht="15.75" customHeight="1" x14ac:dyDescent="0.45">
      <c r="K716" s="74"/>
    </row>
    <row r="717" spans="11:11" ht="15.75" customHeight="1" x14ac:dyDescent="0.45">
      <c r="K717" s="74"/>
    </row>
    <row r="718" spans="11:11" ht="15.75" customHeight="1" x14ac:dyDescent="0.45">
      <c r="K718" s="74"/>
    </row>
    <row r="719" spans="11:11" ht="15.75" customHeight="1" x14ac:dyDescent="0.45">
      <c r="K719" s="74"/>
    </row>
    <row r="720" spans="11:11" ht="15.75" customHeight="1" x14ac:dyDescent="0.45">
      <c r="K720" s="74"/>
    </row>
    <row r="721" spans="11:11" ht="15.75" customHeight="1" x14ac:dyDescent="0.45">
      <c r="K721" s="74"/>
    </row>
    <row r="722" spans="11:11" ht="15.75" customHeight="1" x14ac:dyDescent="0.45">
      <c r="K722" s="74"/>
    </row>
    <row r="723" spans="11:11" ht="15.75" customHeight="1" x14ac:dyDescent="0.45">
      <c r="K723" s="74"/>
    </row>
    <row r="724" spans="11:11" ht="15.75" customHeight="1" x14ac:dyDescent="0.45">
      <c r="K724" s="74"/>
    </row>
    <row r="725" spans="11:11" ht="15.75" customHeight="1" x14ac:dyDescent="0.45">
      <c r="K725" s="74"/>
    </row>
    <row r="726" spans="11:11" ht="15.75" customHeight="1" x14ac:dyDescent="0.45">
      <c r="K726" s="74"/>
    </row>
    <row r="727" spans="11:11" ht="15.75" customHeight="1" x14ac:dyDescent="0.45">
      <c r="K727" s="74"/>
    </row>
    <row r="728" spans="11:11" ht="15.75" customHeight="1" x14ac:dyDescent="0.45">
      <c r="K728" s="74"/>
    </row>
    <row r="729" spans="11:11" ht="15.75" customHeight="1" x14ac:dyDescent="0.45">
      <c r="K729" s="74"/>
    </row>
    <row r="730" spans="11:11" ht="15.75" customHeight="1" x14ac:dyDescent="0.45">
      <c r="K730" s="74"/>
    </row>
    <row r="731" spans="11:11" ht="15.75" customHeight="1" x14ac:dyDescent="0.45">
      <c r="K731" s="74"/>
    </row>
    <row r="732" spans="11:11" ht="15.75" customHeight="1" x14ac:dyDescent="0.45">
      <c r="K732" s="74"/>
    </row>
    <row r="733" spans="11:11" ht="15.75" customHeight="1" x14ac:dyDescent="0.45">
      <c r="K733" s="74"/>
    </row>
    <row r="734" spans="11:11" ht="15.75" customHeight="1" x14ac:dyDescent="0.45">
      <c r="K734" s="74"/>
    </row>
    <row r="735" spans="11:11" ht="15.75" customHeight="1" x14ac:dyDescent="0.45">
      <c r="K735" s="74"/>
    </row>
    <row r="736" spans="11:11" ht="15.75" customHeight="1" x14ac:dyDescent="0.45">
      <c r="K736" s="74"/>
    </row>
    <row r="737" spans="11:11" ht="15.75" customHeight="1" x14ac:dyDescent="0.45">
      <c r="K737" s="74"/>
    </row>
    <row r="738" spans="11:11" ht="15.75" customHeight="1" x14ac:dyDescent="0.45">
      <c r="K738" s="74"/>
    </row>
    <row r="739" spans="11:11" ht="15.75" customHeight="1" x14ac:dyDescent="0.45">
      <c r="K739" s="74"/>
    </row>
    <row r="740" spans="11:11" ht="15.75" customHeight="1" x14ac:dyDescent="0.45">
      <c r="K740" s="74"/>
    </row>
    <row r="741" spans="11:11" ht="15.75" customHeight="1" x14ac:dyDescent="0.45">
      <c r="K741" s="74"/>
    </row>
    <row r="742" spans="11:11" ht="15.75" customHeight="1" x14ac:dyDescent="0.45">
      <c r="K742" s="74"/>
    </row>
    <row r="743" spans="11:11" ht="15.75" customHeight="1" x14ac:dyDescent="0.45">
      <c r="K743" s="74"/>
    </row>
    <row r="744" spans="11:11" ht="15.75" customHeight="1" x14ac:dyDescent="0.45">
      <c r="K744" s="74"/>
    </row>
    <row r="745" spans="11:11" ht="15.75" customHeight="1" x14ac:dyDescent="0.45">
      <c r="K745" s="74"/>
    </row>
    <row r="746" spans="11:11" ht="15.75" customHeight="1" x14ac:dyDescent="0.45">
      <c r="K746" s="74"/>
    </row>
    <row r="747" spans="11:11" ht="15.75" customHeight="1" x14ac:dyDescent="0.45">
      <c r="K747" s="74"/>
    </row>
    <row r="748" spans="11:11" ht="15.75" customHeight="1" x14ac:dyDescent="0.45">
      <c r="K748" s="74"/>
    </row>
    <row r="749" spans="11:11" ht="15.75" customHeight="1" x14ac:dyDescent="0.45">
      <c r="K749" s="74"/>
    </row>
    <row r="750" spans="11:11" ht="15.75" customHeight="1" x14ac:dyDescent="0.45">
      <c r="K750" s="74"/>
    </row>
    <row r="751" spans="11:11" ht="15.75" customHeight="1" x14ac:dyDescent="0.45">
      <c r="K751" s="74"/>
    </row>
    <row r="752" spans="11:11" ht="15.75" customHeight="1" x14ac:dyDescent="0.45">
      <c r="K752" s="74"/>
    </row>
    <row r="753" spans="11:11" ht="15.75" customHeight="1" x14ac:dyDescent="0.45">
      <c r="K753" s="74"/>
    </row>
    <row r="754" spans="11:11" ht="15.75" customHeight="1" x14ac:dyDescent="0.45">
      <c r="K754" s="74"/>
    </row>
    <row r="755" spans="11:11" ht="15.75" customHeight="1" x14ac:dyDescent="0.45">
      <c r="K755" s="74"/>
    </row>
    <row r="756" spans="11:11" ht="15.75" customHeight="1" x14ac:dyDescent="0.45">
      <c r="K756" s="74"/>
    </row>
    <row r="757" spans="11:11" ht="15.75" customHeight="1" x14ac:dyDescent="0.45">
      <c r="K757" s="74"/>
    </row>
    <row r="758" spans="11:11" ht="15.75" customHeight="1" x14ac:dyDescent="0.45">
      <c r="K758" s="74"/>
    </row>
    <row r="759" spans="11:11" ht="15.75" customHeight="1" x14ac:dyDescent="0.45">
      <c r="K759" s="74"/>
    </row>
    <row r="760" spans="11:11" ht="15.75" customHeight="1" x14ac:dyDescent="0.45">
      <c r="K760" s="74"/>
    </row>
    <row r="761" spans="11:11" ht="15.75" customHeight="1" x14ac:dyDescent="0.45">
      <c r="K761" s="74"/>
    </row>
    <row r="762" spans="11:11" ht="15.75" customHeight="1" x14ac:dyDescent="0.45">
      <c r="K762" s="74"/>
    </row>
    <row r="763" spans="11:11" ht="15.75" customHeight="1" x14ac:dyDescent="0.45">
      <c r="K763" s="74"/>
    </row>
    <row r="764" spans="11:11" ht="15.75" customHeight="1" x14ac:dyDescent="0.45">
      <c r="K764" s="74"/>
    </row>
    <row r="765" spans="11:11" ht="15.75" customHeight="1" x14ac:dyDescent="0.45">
      <c r="K765" s="74"/>
    </row>
    <row r="766" spans="11:11" ht="15.75" customHeight="1" x14ac:dyDescent="0.45">
      <c r="K766" s="74"/>
    </row>
    <row r="767" spans="11:11" ht="15.75" customHeight="1" x14ac:dyDescent="0.45">
      <c r="K767" s="74"/>
    </row>
    <row r="768" spans="11:11" ht="15.75" customHeight="1" x14ac:dyDescent="0.45">
      <c r="K768" s="74"/>
    </row>
    <row r="769" spans="11:11" ht="15.75" customHeight="1" x14ac:dyDescent="0.45">
      <c r="K769" s="74"/>
    </row>
    <row r="770" spans="11:11" ht="15.75" customHeight="1" x14ac:dyDescent="0.45">
      <c r="K770" s="74"/>
    </row>
    <row r="771" spans="11:11" ht="15.75" customHeight="1" x14ac:dyDescent="0.45">
      <c r="K771" s="74"/>
    </row>
    <row r="772" spans="11:11" ht="15.75" customHeight="1" x14ac:dyDescent="0.45">
      <c r="K772" s="74"/>
    </row>
    <row r="773" spans="11:11" ht="15.75" customHeight="1" x14ac:dyDescent="0.45">
      <c r="K773" s="74"/>
    </row>
    <row r="774" spans="11:11" ht="15.75" customHeight="1" x14ac:dyDescent="0.45">
      <c r="K774" s="74"/>
    </row>
    <row r="775" spans="11:11" ht="15.75" customHeight="1" x14ac:dyDescent="0.45">
      <c r="K775" s="74"/>
    </row>
    <row r="776" spans="11:11" ht="15.75" customHeight="1" x14ac:dyDescent="0.45">
      <c r="K776" s="74"/>
    </row>
    <row r="777" spans="11:11" ht="15.75" customHeight="1" x14ac:dyDescent="0.45">
      <c r="K777" s="74"/>
    </row>
    <row r="778" spans="11:11" ht="15.75" customHeight="1" x14ac:dyDescent="0.45">
      <c r="K778" s="74"/>
    </row>
    <row r="779" spans="11:11" ht="15.75" customHeight="1" x14ac:dyDescent="0.45">
      <c r="K779" s="74"/>
    </row>
    <row r="780" spans="11:11" ht="15.75" customHeight="1" x14ac:dyDescent="0.45">
      <c r="K780" s="74"/>
    </row>
    <row r="781" spans="11:11" ht="15.75" customHeight="1" x14ac:dyDescent="0.45">
      <c r="K781" s="74"/>
    </row>
    <row r="782" spans="11:11" ht="15.75" customHeight="1" x14ac:dyDescent="0.45">
      <c r="K782" s="74"/>
    </row>
    <row r="783" spans="11:11" ht="15.75" customHeight="1" x14ac:dyDescent="0.45">
      <c r="K783" s="74"/>
    </row>
    <row r="784" spans="11:11" ht="15.75" customHeight="1" x14ac:dyDescent="0.45">
      <c r="K784" s="74"/>
    </row>
    <row r="785" spans="11:11" ht="15.75" customHeight="1" x14ac:dyDescent="0.45">
      <c r="K785" s="74"/>
    </row>
    <row r="786" spans="11:11" ht="15.75" customHeight="1" x14ac:dyDescent="0.45">
      <c r="K786" s="74"/>
    </row>
    <row r="787" spans="11:11" ht="15.75" customHeight="1" x14ac:dyDescent="0.45">
      <c r="K787" s="74"/>
    </row>
    <row r="788" spans="11:11" ht="15.75" customHeight="1" x14ac:dyDescent="0.45">
      <c r="K788" s="74"/>
    </row>
    <row r="789" spans="11:11" ht="15.75" customHeight="1" x14ac:dyDescent="0.45">
      <c r="K789" s="74"/>
    </row>
    <row r="790" spans="11:11" ht="15.75" customHeight="1" x14ac:dyDescent="0.45">
      <c r="K790" s="74"/>
    </row>
    <row r="791" spans="11:11" ht="15.75" customHeight="1" x14ac:dyDescent="0.45">
      <c r="K791" s="74"/>
    </row>
    <row r="792" spans="11:11" ht="15.75" customHeight="1" x14ac:dyDescent="0.45">
      <c r="K792" s="74"/>
    </row>
    <row r="793" spans="11:11" ht="15.75" customHeight="1" x14ac:dyDescent="0.45">
      <c r="K793" s="74"/>
    </row>
    <row r="794" spans="11:11" ht="15.75" customHeight="1" x14ac:dyDescent="0.45">
      <c r="K794" s="74"/>
    </row>
    <row r="795" spans="11:11" ht="15.75" customHeight="1" x14ac:dyDescent="0.45">
      <c r="K795" s="74"/>
    </row>
    <row r="796" spans="11:11" ht="15.75" customHeight="1" x14ac:dyDescent="0.45">
      <c r="K796" s="74"/>
    </row>
    <row r="797" spans="11:11" ht="15.75" customHeight="1" x14ac:dyDescent="0.45">
      <c r="K797" s="74"/>
    </row>
    <row r="798" spans="11:11" ht="15.75" customHeight="1" x14ac:dyDescent="0.45">
      <c r="K798" s="74"/>
    </row>
    <row r="799" spans="11:11" ht="15.75" customHeight="1" x14ac:dyDescent="0.45">
      <c r="K799" s="74"/>
    </row>
    <row r="800" spans="11:11" ht="15.75" customHeight="1" x14ac:dyDescent="0.45">
      <c r="K800" s="74"/>
    </row>
    <row r="801" spans="11:11" ht="15.75" customHeight="1" x14ac:dyDescent="0.45">
      <c r="K801" s="74"/>
    </row>
    <row r="802" spans="11:11" ht="15.75" customHeight="1" x14ac:dyDescent="0.45">
      <c r="K802" s="74"/>
    </row>
    <row r="803" spans="11:11" ht="15.75" customHeight="1" x14ac:dyDescent="0.45">
      <c r="K803" s="74"/>
    </row>
    <row r="804" spans="11:11" ht="15.75" customHeight="1" x14ac:dyDescent="0.45">
      <c r="K804" s="74"/>
    </row>
    <row r="805" spans="11:11" ht="15.75" customHeight="1" x14ac:dyDescent="0.45">
      <c r="K805" s="74"/>
    </row>
    <row r="806" spans="11:11" ht="15.75" customHeight="1" x14ac:dyDescent="0.45">
      <c r="K806" s="74"/>
    </row>
    <row r="807" spans="11:11" ht="15.75" customHeight="1" x14ac:dyDescent="0.45">
      <c r="K807" s="74"/>
    </row>
    <row r="808" spans="11:11" ht="15.75" customHeight="1" x14ac:dyDescent="0.45">
      <c r="K808" s="74"/>
    </row>
    <row r="809" spans="11:11" ht="15.75" customHeight="1" x14ac:dyDescent="0.45">
      <c r="K809" s="74"/>
    </row>
    <row r="810" spans="11:11" ht="15.75" customHeight="1" x14ac:dyDescent="0.45">
      <c r="K810" s="74"/>
    </row>
    <row r="811" spans="11:11" ht="15.75" customHeight="1" x14ac:dyDescent="0.45">
      <c r="K811" s="74"/>
    </row>
    <row r="812" spans="11:11" ht="15.75" customHeight="1" x14ac:dyDescent="0.45">
      <c r="K812" s="74"/>
    </row>
    <row r="813" spans="11:11" ht="15.75" customHeight="1" x14ac:dyDescent="0.45">
      <c r="K813" s="74"/>
    </row>
    <row r="814" spans="11:11" ht="15.75" customHeight="1" x14ac:dyDescent="0.45">
      <c r="K814" s="74"/>
    </row>
    <row r="815" spans="11:11" ht="15.75" customHeight="1" x14ac:dyDescent="0.45">
      <c r="K815" s="74"/>
    </row>
    <row r="816" spans="11:11" ht="15.75" customHeight="1" x14ac:dyDescent="0.45">
      <c r="K816" s="74"/>
    </row>
    <row r="817" spans="11:11" ht="15.75" customHeight="1" x14ac:dyDescent="0.45">
      <c r="K817" s="74"/>
    </row>
    <row r="818" spans="11:11" ht="15.75" customHeight="1" x14ac:dyDescent="0.45">
      <c r="K818" s="74"/>
    </row>
    <row r="819" spans="11:11" ht="15.75" customHeight="1" x14ac:dyDescent="0.45">
      <c r="K819" s="74"/>
    </row>
    <row r="820" spans="11:11" ht="15.75" customHeight="1" x14ac:dyDescent="0.45">
      <c r="K820" s="74"/>
    </row>
    <row r="821" spans="11:11" ht="15.75" customHeight="1" x14ac:dyDescent="0.45">
      <c r="K821" s="74"/>
    </row>
    <row r="822" spans="11:11" ht="15.75" customHeight="1" x14ac:dyDescent="0.45">
      <c r="K822" s="74"/>
    </row>
    <row r="823" spans="11:11" ht="15.75" customHeight="1" x14ac:dyDescent="0.45">
      <c r="K823" s="74"/>
    </row>
    <row r="824" spans="11:11" ht="15.75" customHeight="1" x14ac:dyDescent="0.45">
      <c r="K824" s="74"/>
    </row>
    <row r="825" spans="11:11" ht="15.75" customHeight="1" x14ac:dyDescent="0.45">
      <c r="K825" s="74"/>
    </row>
    <row r="826" spans="11:11" ht="15.75" customHeight="1" x14ac:dyDescent="0.45">
      <c r="K826" s="74"/>
    </row>
    <row r="827" spans="11:11" ht="15.75" customHeight="1" x14ac:dyDescent="0.45">
      <c r="K827" s="74"/>
    </row>
    <row r="828" spans="11:11" ht="15.75" customHeight="1" x14ac:dyDescent="0.45">
      <c r="K828" s="74"/>
    </row>
    <row r="829" spans="11:11" ht="15.75" customHeight="1" x14ac:dyDescent="0.45">
      <c r="K829" s="74"/>
    </row>
    <row r="830" spans="11:11" ht="15.75" customHeight="1" x14ac:dyDescent="0.45">
      <c r="K830" s="74"/>
    </row>
    <row r="831" spans="11:11" ht="15.75" customHeight="1" x14ac:dyDescent="0.45">
      <c r="K831" s="74"/>
    </row>
    <row r="832" spans="11:11" ht="15.75" customHeight="1" x14ac:dyDescent="0.45">
      <c r="K832" s="74"/>
    </row>
    <row r="833" spans="11:11" ht="15.75" customHeight="1" x14ac:dyDescent="0.45">
      <c r="K833" s="74"/>
    </row>
    <row r="834" spans="11:11" ht="15.75" customHeight="1" x14ac:dyDescent="0.45">
      <c r="K834" s="74"/>
    </row>
    <row r="835" spans="11:11" ht="15.75" customHeight="1" x14ac:dyDescent="0.45">
      <c r="K835" s="74"/>
    </row>
    <row r="836" spans="11:11" ht="15.75" customHeight="1" x14ac:dyDescent="0.45">
      <c r="K836" s="74"/>
    </row>
    <row r="837" spans="11:11" ht="15.75" customHeight="1" x14ac:dyDescent="0.45">
      <c r="K837" s="74"/>
    </row>
    <row r="838" spans="11:11" ht="15.75" customHeight="1" x14ac:dyDescent="0.45">
      <c r="K838" s="74"/>
    </row>
    <row r="839" spans="11:11" ht="15.75" customHeight="1" x14ac:dyDescent="0.45">
      <c r="K839" s="74"/>
    </row>
    <row r="840" spans="11:11" ht="15.75" customHeight="1" x14ac:dyDescent="0.45">
      <c r="K840" s="74"/>
    </row>
    <row r="841" spans="11:11" ht="15.75" customHeight="1" x14ac:dyDescent="0.45">
      <c r="K841" s="74"/>
    </row>
    <row r="842" spans="11:11" ht="15.75" customHeight="1" x14ac:dyDescent="0.45">
      <c r="K842" s="74"/>
    </row>
    <row r="843" spans="11:11" ht="15.75" customHeight="1" x14ac:dyDescent="0.45">
      <c r="K843" s="74"/>
    </row>
    <row r="844" spans="11:11" ht="15.75" customHeight="1" x14ac:dyDescent="0.45">
      <c r="K844" s="74"/>
    </row>
    <row r="845" spans="11:11" ht="15.75" customHeight="1" x14ac:dyDescent="0.45">
      <c r="K845" s="74"/>
    </row>
    <row r="846" spans="11:11" ht="15.75" customHeight="1" x14ac:dyDescent="0.45">
      <c r="K846" s="74"/>
    </row>
    <row r="847" spans="11:11" ht="15.75" customHeight="1" x14ac:dyDescent="0.45">
      <c r="K847" s="74"/>
    </row>
    <row r="848" spans="11:11" ht="15.75" customHeight="1" x14ac:dyDescent="0.45">
      <c r="K848" s="74"/>
    </row>
    <row r="849" spans="11:11" ht="15.75" customHeight="1" x14ac:dyDescent="0.45">
      <c r="K849" s="74"/>
    </row>
    <row r="850" spans="11:11" ht="15.75" customHeight="1" x14ac:dyDescent="0.45">
      <c r="K850" s="74"/>
    </row>
    <row r="851" spans="11:11" ht="15.75" customHeight="1" x14ac:dyDescent="0.45">
      <c r="K851" s="74"/>
    </row>
    <row r="852" spans="11:11" ht="15.75" customHeight="1" x14ac:dyDescent="0.45">
      <c r="K852" s="74"/>
    </row>
    <row r="853" spans="11:11" ht="15.75" customHeight="1" x14ac:dyDescent="0.45">
      <c r="K853" s="74"/>
    </row>
    <row r="854" spans="11:11" ht="15.75" customHeight="1" x14ac:dyDescent="0.45">
      <c r="K854" s="74"/>
    </row>
    <row r="855" spans="11:11" ht="15.75" customHeight="1" x14ac:dyDescent="0.45">
      <c r="K855" s="74"/>
    </row>
    <row r="856" spans="11:11" ht="15.75" customHeight="1" x14ac:dyDescent="0.45">
      <c r="K856" s="74"/>
    </row>
    <row r="857" spans="11:11" ht="15.75" customHeight="1" x14ac:dyDescent="0.45">
      <c r="K857" s="74"/>
    </row>
    <row r="858" spans="11:11" ht="15.75" customHeight="1" x14ac:dyDescent="0.45">
      <c r="K858" s="74"/>
    </row>
    <row r="859" spans="11:11" ht="15.75" customHeight="1" x14ac:dyDescent="0.45">
      <c r="K859" s="74"/>
    </row>
    <row r="860" spans="11:11" ht="15.75" customHeight="1" x14ac:dyDescent="0.45">
      <c r="K860" s="74"/>
    </row>
    <row r="861" spans="11:11" ht="15.75" customHeight="1" x14ac:dyDescent="0.45">
      <c r="K861" s="74"/>
    </row>
    <row r="862" spans="11:11" ht="15.75" customHeight="1" x14ac:dyDescent="0.45">
      <c r="K862" s="74"/>
    </row>
    <row r="863" spans="11:11" ht="15.75" customHeight="1" x14ac:dyDescent="0.45">
      <c r="K863" s="74"/>
    </row>
    <row r="864" spans="11:11" ht="15.75" customHeight="1" x14ac:dyDescent="0.45">
      <c r="K864" s="74"/>
    </row>
    <row r="865" spans="11:11" ht="15.75" customHeight="1" x14ac:dyDescent="0.45">
      <c r="K865" s="74"/>
    </row>
    <row r="866" spans="11:11" ht="15.75" customHeight="1" x14ac:dyDescent="0.45">
      <c r="K866" s="74"/>
    </row>
    <row r="867" spans="11:11" ht="15.75" customHeight="1" x14ac:dyDescent="0.45">
      <c r="K867" s="74"/>
    </row>
    <row r="868" spans="11:11" ht="15.75" customHeight="1" x14ac:dyDescent="0.45">
      <c r="K868" s="74"/>
    </row>
    <row r="869" spans="11:11" ht="15.75" customHeight="1" x14ac:dyDescent="0.45">
      <c r="K869" s="74"/>
    </row>
    <row r="870" spans="11:11" ht="15.75" customHeight="1" x14ac:dyDescent="0.45">
      <c r="K870" s="74"/>
    </row>
    <row r="871" spans="11:11" ht="15.75" customHeight="1" x14ac:dyDescent="0.45">
      <c r="K871" s="74"/>
    </row>
    <row r="872" spans="11:11" ht="15.75" customHeight="1" x14ac:dyDescent="0.45">
      <c r="K872" s="74"/>
    </row>
    <row r="873" spans="11:11" ht="15.75" customHeight="1" x14ac:dyDescent="0.45">
      <c r="K873" s="74"/>
    </row>
    <row r="874" spans="11:11" ht="15.75" customHeight="1" x14ac:dyDescent="0.45">
      <c r="K874" s="74"/>
    </row>
    <row r="875" spans="11:11" ht="15.75" customHeight="1" x14ac:dyDescent="0.45">
      <c r="K875" s="74"/>
    </row>
    <row r="876" spans="11:11" ht="15.75" customHeight="1" x14ac:dyDescent="0.45">
      <c r="K876" s="74"/>
    </row>
    <row r="877" spans="11:11" ht="15.75" customHeight="1" x14ac:dyDescent="0.45">
      <c r="K877" s="74"/>
    </row>
    <row r="878" spans="11:11" ht="15.75" customHeight="1" x14ac:dyDescent="0.45">
      <c r="K878" s="74"/>
    </row>
    <row r="879" spans="11:11" ht="15.75" customHeight="1" x14ac:dyDescent="0.45">
      <c r="K879" s="74"/>
    </row>
    <row r="880" spans="11:11" ht="15.75" customHeight="1" x14ac:dyDescent="0.45">
      <c r="K880" s="74"/>
    </row>
    <row r="881" spans="11:11" ht="15.75" customHeight="1" x14ac:dyDescent="0.45">
      <c r="K881" s="74"/>
    </row>
    <row r="882" spans="11:11" ht="15.75" customHeight="1" x14ac:dyDescent="0.45">
      <c r="K882" s="74"/>
    </row>
    <row r="883" spans="11:11" ht="15.75" customHeight="1" x14ac:dyDescent="0.45">
      <c r="K883" s="74"/>
    </row>
    <row r="884" spans="11:11" ht="15.75" customHeight="1" x14ac:dyDescent="0.45">
      <c r="K884" s="74"/>
    </row>
    <row r="885" spans="11:11" ht="15.75" customHeight="1" x14ac:dyDescent="0.45">
      <c r="K885" s="74"/>
    </row>
    <row r="886" spans="11:11" ht="15.75" customHeight="1" x14ac:dyDescent="0.45">
      <c r="K886" s="74"/>
    </row>
    <row r="887" spans="11:11" ht="15.75" customHeight="1" x14ac:dyDescent="0.45">
      <c r="K887" s="74"/>
    </row>
    <row r="888" spans="11:11" ht="15.75" customHeight="1" x14ac:dyDescent="0.45">
      <c r="K888" s="74"/>
    </row>
    <row r="889" spans="11:11" ht="15.75" customHeight="1" x14ac:dyDescent="0.45">
      <c r="K889" s="74"/>
    </row>
    <row r="890" spans="11:11" ht="15.75" customHeight="1" x14ac:dyDescent="0.45">
      <c r="K890" s="74"/>
    </row>
    <row r="891" spans="11:11" ht="15.75" customHeight="1" x14ac:dyDescent="0.45">
      <c r="K891" s="74"/>
    </row>
    <row r="892" spans="11:11" ht="15.75" customHeight="1" x14ac:dyDescent="0.45">
      <c r="K892" s="74"/>
    </row>
    <row r="893" spans="11:11" ht="15.75" customHeight="1" x14ac:dyDescent="0.45">
      <c r="K893" s="74"/>
    </row>
    <row r="894" spans="11:11" ht="15.75" customHeight="1" x14ac:dyDescent="0.45">
      <c r="K894" s="74"/>
    </row>
    <row r="895" spans="11:11" ht="15.75" customHeight="1" x14ac:dyDescent="0.45">
      <c r="K895" s="74"/>
    </row>
    <row r="896" spans="11:11" ht="15.75" customHeight="1" x14ac:dyDescent="0.45">
      <c r="K896" s="74"/>
    </row>
    <row r="897" spans="11:11" ht="15.75" customHeight="1" x14ac:dyDescent="0.45">
      <c r="K897" s="74"/>
    </row>
    <row r="898" spans="11:11" ht="15.75" customHeight="1" x14ac:dyDescent="0.45">
      <c r="K898" s="74"/>
    </row>
    <row r="899" spans="11:11" ht="15.75" customHeight="1" x14ac:dyDescent="0.45">
      <c r="K899" s="74"/>
    </row>
    <row r="900" spans="11:11" ht="15.75" customHeight="1" x14ac:dyDescent="0.45">
      <c r="K900" s="74"/>
    </row>
    <row r="901" spans="11:11" ht="15.75" customHeight="1" x14ac:dyDescent="0.45">
      <c r="K901" s="74"/>
    </row>
    <row r="902" spans="11:11" ht="15.75" customHeight="1" x14ac:dyDescent="0.45">
      <c r="K902" s="74"/>
    </row>
    <row r="903" spans="11:11" ht="15.75" customHeight="1" x14ac:dyDescent="0.45">
      <c r="K903" s="74"/>
    </row>
    <row r="904" spans="11:11" ht="15.75" customHeight="1" x14ac:dyDescent="0.45">
      <c r="K904" s="74"/>
    </row>
    <row r="905" spans="11:11" ht="15.75" customHeight="1" x14ac:dyDescent="0.45">
      <c r="K905" s="74"/>
    </row>
    <row r="906" spans="11:11" ht="15.75" customHeight="1" x14ac:dyDescent="0.45">
      <c r="K906" s="74"/>
    </row>
    <row r="907" spans="11:11" ht="15.75" customHeight="1" x14ac:dyDescent="0.45">
      <c r="K907" s="74"/>
    </row>
    <row r="908" spans="11:11" ht="15.75" customHeight="1" x14ac:dyDescent="0.45">
      <c r="K908" s="74"/>
    </row>
    <row r="909" spans="11:11" ht="15.75" customHeight="1" x14ac:dyDescent="0.45">
      <c r="K909" s="74"/>
    </row>
    <row r="910" spans="11:11" ht="15.75" customHeight="1" x14ac:dyDescent="0.45">
      <c r="K910" s="74"/>
    </row>
    <row r="911" spans="11:11" ht="15.75" customHeight="1" x14ac:dyDescent="0.45">
      <c r="K911" s="74"/>
    </row>
    <row r="912" spans="11:11" ht="15.75" customHeight="1" x14ac:dyDescent="0.45">
      <c r="K912" s="74"/>
    </row>
    <row r="913" spans="11:11" ht="15.75" customHeight="1" x14ac:dyDescent="0.45">
      <c r="K913" s="74"/>
    </row>
    <row r="914" spans="11:11" ht="15.75" customHeight="1" x14ac:dyDescent="0.45">
      <c r="K914" s="74"/>
    </row>
    <row r="915" spans="11:11" ht="15.75" customHeight="1" x14ac:dyDescent="0.45">
      <c r="K915" s="74"/>
    </row>
    <row r="916" spans="11:11" ht="15.75" customHeight="1" x14ac:dyDescent="0.45">
      <c r="K916" s="74"/>
    </row>
    <row r="917" spans="11:11" ht="15.75" customHeight="1" x14ac:dyDescent="0.45">
      <c r="K917" s="74"/>
    </row>
    <row r="918" spans="11:11" ht="15.75" customHeight="1" x14ac:dyDescent="0.45">
      <c r="K918" s="74"/>
    </row>
    <row r="919" spans="11:11" ht="15.75" customHeight="1" x14ac:dyDescent="0.45">
      <c r="K919" s="74"/>
    </row>
    <row r="920" spans="11:11" ht="15.75" customHeight="1" x14ac:dyDescent="0.45">
      <c r="K920" s="74"/>
    </row>
    <row r="921" spans="11:11" ht="15.75" customHeight="1" x14ac:dyDescent="0.45">
      <c r="K921" s="74"/>
    </row>
    <row r="922" spans="11:11" ht="15.75" customHeight="1" x14ac:dyDescent="0.45">
      <c r="K922" s="74"/>
    </row>
    <row r="923" spans="11:11" ht="15.75" customHeight="1" x14ac:dyDescent="0.45">
      <c r="K923" s="74"/>
    </row>
    <row r="924" spans="11:11" ht="15.75" customHeight="1" x14ac:dyDescent="0.45">
      <c r="K924" s="74"/>
    </row>
    <row r="925" spans="11:11" ht="15.75" customHeight="1" x14ac:dyDescent="0.45">
      <c r="K925" s="74"/>
    </row>
    <row r="926" spans="11:11" ht="15.75" customHeight="1" x14ac:dyDescent="0.45">
      <c r="K926" s="74"/>
    </row>
    <row r="927" spans="11:11" ht="15.75" customHeight="1" x14ac:dyDescent="0.45">
      <c r="K927" s="74"/>
    </row>
    <row r="928" spans="11:11" ht="15.75" customHeight="1" x14ac:dyDescent="0.45">
      <c r="K928" s="74"/>
    </row>
    <row r="929" spans="11:11" ht="15.75" customHeight="1" x14ac:dyDescent="0.45">
      <c r="K929" s="74"/>
    </row>
    <row r="930" spans="11:11" ht="15.75" customHeight="1" x14ac:dyDescent="0.45">
      <c r="K930" s="74"/>
    </row>
    <row r="931" spans="11:11" ht="15.75" customHeight="1" x14ac:dyDescent="0.45">
      <c r="K931" s="74"/>
    </row>
    <row r="932" spans="11:11" ht="15.75" customHeight="1" x14ac:dyDescent="0.45">
      <c r="K932" s="74"/>
    </row>
    <row r="933" spans="11:11" ht="15.75" customHeight="1" x14ac:dyDescent="0.45">
      <c r="K933" s="74"/>
    </row>
    <row r="934" spans="11:11" ht="15.75" customHeight="1" x14ac:dyDescent="0.45">
      <c r="K934" s="74"/>
    </row>
    <row r="935" spans="11:11" ht="15.75" customHeight="1" x14ac:dyDescent="0.45">
      <c r="K935" s="74"/>
    </row>
    <row r="936" spans="11:11" ht="15.75" customHeight="1" x14ac:dyDescent="0.45">
      <c r="K936" s="74"/>
    </row>
    <row r="937" spans="11:11" ht="15.75" customHeight="1" x14ac:dyDescent="0.45">
      <c r="K937" s="74"/>
    </row>
    <row r="938" spans="11:11" ht="15.75" customHeight="1" x14ac:dyDescent="0.45">
      <c r="K938" s="74"/>
    </row>
    <row r="939" spans="11:11" ht="15.75" customHeight="1" x14ac:dyDescent="0.45">
      <c r="K939" s="74"/>
    </row>
    <row r="940" spans="11:11" ht="15.75" customHeight="1" x14ac:dyDescent="0.45">
      <c r="K940" s="74"/>
    </row>
    <row r="941" spans="11:11" ht="15.75" customHeight="1" x14ac:dyDescent="0.45">
      <c r="K941" s="74"/>
    </row>
    <row r="942" spans="11:11" ht="15.75" customHeight="1" x14ac:dyDescent="0.45">
      <c r="K942" s="74"/>
    </row>
    <row r="943" spans="11:11" ht="15.75" customHeight="1" x14ac:dyDescent="0.45">
      <c r="K943" s="74"/>
    </row>
    <row r="944" spans="11:11" ht="15.75" customHeight="1" x14ac:dyDescent="0.45">
      <c r="K944" s="74"/>
    </row>
    <row r="945" spans="11:11" ht="15.75" customHeight="1" x14ac:dyDescent="0.45">
      <c r="K945" s="74"/>
    </row>
    <row r="946" spans="11:11" ht="15.75" customHeight="1" x14ac:dyDescent="0.45">
      <c r="K946" s="74"/>
    </row>
    <row r="947" spans="11:11" ht="15.75" customHeight="1" x14ac:dyDescent="0.45">
      <c r="K947" s="74"/>
    </row>
    <row r="948" spans="11:11" ht="15.75" customHeight="1" x14ac:dyDescent="0.45">
      <c r="K948" s="74"/>
    </row>
    <row r="949" spans="11:11" ht="15.75" customHeight="1" x14ac:dyDescent="0.45">
      <c r="K949" s="74"/>
    </row>
    <row r="950" spans="11:11" ht="15.75" customHeight="1" x14ac:dyDescent="0.45">
      <c r="K950" s="74"/>
    </row>
    <row r="951" spans="11:11" ht="15.75" customHeight="1" x14ac:dyDescent="0.45">
      <c r="K951" s="74"/>
    </row>
    <row r="952" spans="11:11" ht="15.75" customHeight="1" x14ac:dyDescent="0.45">
      <c r="K952" s="74"/>
    </row>
    <row r="953" spans="11:11" ht="15.75" customHeight="1" x14ac:dyDescent="0.45">
      <c r="K953" s="74"/>
    </row>
    <row r="954" spans="11:11" ht="15.75" customHeight="1" x14ac:dyDescent="0.45">
      <c r="K954" s="74"/>
    </row>
    <row r="955" spans="11:11" ht="15.75" customHeight="1" x14ac:dyDescent="0.45">
      <c r="K955" s="74"/>
    </row>
    <row r="956" spans="11:11" ht="15.75" customHeight="1" x14ac:dyDescent="0.45">
      <c r="K956" s="74"/>
    </row>
    <row r="957" spans="11:11" ht="15.75" customHeight="1" x14ac:dyDescent="0.45">
      <c r="K957" s="74"/>
    </row>
    <row r="958" spans="11:11" ht="15.75" customHeight="1" x14ac:dyDescent="0.45">
      <c r="K958" s="74"/>
    </row>
    <row r="959" spans="11:11" ht="15.75" customHeight="1" x14ac:dyDescent="0.45">
      <c r="K959" s="74"/>
    </row>
    <row r="960" spans="11:11" ht="15.75" customHeight="1" x14ac:dyDescent="0.45">
      <c r="K960" s="74"/>
    </row>
    <row r="961" spans="11:11" ht="15.75" customHeight="1" x14ac:dyDescent="0.45">
      <c r="K961" s="74"/>
    </row>
    <row r="962" spans="11:11" ht="15.75" customHeight="1" x14ac:dyDescent="0.45">
      <c r="K962" s="74"/>
    </row>
    <row r="963" spans="11:11" ht="15.75" customHeight="1" x14ac:dyDescent="0.45">
      <c r="K963" s="74"/>
    </row>
    <row r="964" spans="11:11" ht="15.75" customHeight="1" x14ac:dyDescent="0.45">
      <c r="K964" s="74"/>
    </row>
    <row r="965" spans="11:11" ht="15.75" customHeight="1" x14ac:dyDescent="0.45">
      <c r="K965" s="74"/>
    </row>
    <row r="966" spans="11:11" ht="15.75" customHeight="1" x14ac:dyDescent="0.45">
      <c r="K966" s="74"/>
    </row>
    <row r="967" spans="11:11" ht="15.75" customHeight="1" x14ac:dyDescent="0.45">
      <c r="K967" s="74"/>
    </row>
    <row r="968" spans="11:11" ht="15.75" customHeight="1" x14ac:dyDescent="0.45">
      <c r="K968" s="74"/>
    </row>
    <row r="969" spans="11:11" ht="15.75" customHeight="1" x14ac:dyDescent="0.45">
      <c r="K969" s="74"/>
    </row>
    <row r="970" spans="11:11" ht="15.75" customHeight="1" x14ac:dyDescent="0.45">
      <c r="K970" s="74"/>
    </row>
    <row r="971" spans="11:11" ht="15.75" customHeight="1" x14ac:dyDescent="0.45">
      <c r="K971" s="74"/>
    </row>
    <row r="972" spans="11:11" ht="15.75" customHeight="1" x14ac:dyDescent="0.45">
      <c r="K972" s="74"/>
    </row>
    <row r="973" spans="11:11" ht="15.75" customHeight="1" x14ac:dyDescent="0.45">
      <c r="K973" s="74"/>
    </row>
    <row r="974" spans="11:11" ht="15.75" customHeight="1" x14ac:dyDescent="0.45">
      <c r="K974" s="74"/>
    </row>
    <row r="975" spans="11:11" ht="15.75" customHeight="1" x14ac:dyDescent="0.45">
      <c r="K975" s="74"/>
    </row>
    <row r="976" spans="11:11" ht="15.75" customHeight="1" x14ac:dyDescent="0.45">
      <c r="K976" s="74"/>
    </row>
    <row r="977" spans="11:11" ht="15.75" customHeight="1" x14ac:dyDescent="0.45">
      <c r="K977" s="74"/>
    </row>
    <row r="978" spans="11:11" ht="15.75" customHeight="1" x14ac:dyDescent="0.45">
      <c r="K978" s="74"/>
    </row>
    <row r="979" spans="11:11" ht="15.75" customHeight="1" x14ac:dyDescent="0.45">
      <c r="K979" s="74"/>
    </row>
    <row r="980" spans="11:11" ht="15.75" customHeight="1" x14ac:dyDescent="0.45">
      <c r="K980" s="74"/>
    </row>
    <row r="981" spans="11:11" ht="15.75" customHeight="1" x14ac:dyDescent="0.45">
      <c r="K981" s="74"/>
    </row>
    <row r="982" spans="11:11" ht="15.75" customHeight="1" x14ac:dyDescent="0.45">
      <c r="K982" s="74"/>
    </row>
    <row r="983" spans="11:11" ht="15.75" customHeight="1" x14ac:dyDescent="0.45">
      <c r="K983" s="74"/>
    </row>
    <row r="984" spans="11:11" ht="15.75" customHeight="1" x14ac:dyDescent="0.45">
      <c r="K984" s="74"/>
    </row>
    <row r="985" spans="11:11" ht="15.75" customHeight="1" x14ac:dyDescent="0.45">
      <c r="K985" s="74"/>
    </row>
    <row r="986" spans="11:11" ht="15.75" customHeight="1" x14ac:dyDescent="0.45">
      <c r="K986" s="74"/>
    </row>
    <row r="987" spans="11:11" ht="15.75" customHeight="1" x14ac:dyDescent="0.45">
      <c r="K987" s="74"/>
    </row>
    <row r="988" spans="11:11" ht="15.75" customHeight="1" x14ac:dyDescent="0.45">
      <c r="K988" s="74"/>
    </row>
    <row r="989" spans="11:11" ht="15.75" customHeight="1" x14ac:dyDescent="0.45">
      <c r="K989" s="74"/>
    </row>
    <row r="990" spans="11:11" ht="15.75" customHeight="1" x14ac:dyDescent="0.45">
      <c r="K990" s="74"/>
    </row>
    <row r="991" spans="11:11" ht="15.75" customHeight="1" x14ac:dyDescent="0.45">
      <c r="K991" s="74"/>
    </row>
    <row r="992" spans="11:11" ht="15.75" customHeight="1" x14ac:dyDescent="0.45">
      <c r="K992" s="74"/>
    </row>
    <row r="993" spans="11:11" ht="15.75" customHeight="1" x14ac:dyDescent="0.45">
      <c r="K993" s="74"/>
    </row>
    <row r="994" spans="11:11" ht="15.75" customHeight="1" x14ac:dyDescent="0.45">
      <c r="K994" s="74"/>
    </row>
    <row r="995" spans="11:11" ht="15.75" customHeight="1" x14ac:dyDescent="0.45">
      <c r="K995" s="74"/>
    </row>
    <row r="996" spans="11:11" ht="15.75" customHeight="1" x14ac:dyDescent="0.45">
      <c r="K996" s="74"/>
    </row>
    <row r="997" spans="11:11" ht="15.75" customHeight="1" x14ac:dyDescent="0.45">
      <c r="K997" s="74"/>
    </row>
    <row r="998" spans="11:11" ht="15.75" customHeight="1" x14ac:dyDescent="0.45">
      <c r="K998" s="74"/>
    </row>
  </sheetData>
  <mergeCells count="19">
    <mergeCell ref="A105:B105"/>
    <mergeCell ref="F2:I2"/>
    <mergeCell ref="J2:M2"/>
    <mergeCell ref="AJ2:AJ3"/>
    <mergeCell ref="AK2:AK3"/>
    <mergeCell ref="N2:Q2"/>
    <mergeCell ref="R2:U2"/>
    <mergeCell ref="V2:Y2"/>
    <mergeCell ref="Z2:AC2"/>
    <mergeCell ref="AF2:AF3"/>
    <mergeCell ref="AG2:AG3"/>
    <mergeCell ref="AI2:AI3"/>
    <mergeCell ref="AD2:AD3"/>
    <mergeCell ref="AE2:AE3"/>
    <mergeCell ref="A2:A3"/>
    <mergeCell ref="B2:B3"/>
    <mergeCell ref="C2:C3"/>
    <mergeCell ref="D2:D3"/>
    <mergeCell ref="E2:E3"/>
  </mergeCells>
  <hyperlinks>
    <hyperlink ref="AJ12" r:id="rId1" xr:uid="{00000000-0004-0000-0000-000000000000}"/>
    <hyperlink ref="AJ15" r:id="rId2" xr:uid="{00000000-0004-0000-0000-000001000000}"/>
    <hyperlink ref="AJ17" r:id="rId3" xr:uid="{00000000-0004-0000-0000-000002000000}"/>
    <hyperlink ref="AJ18" r:id="rId4" xr:uid="{00000000-0004-0000-0000-000003000000}"/>
    <hyperlink ref="AJ22" r:id="rId5" xr:uid="{00000000-0004-0000-0000-000004000000}"/>
    <hyperlink ref="AJ24" r:id="rId6" xr:uid="{00000000-0004-0000-0000-000005000000}"/>
    <hyperlink ref="AJ25" r:id="rId7" xr:uid="{00000000-0004-0000-0000-000006000000}"/>
    <hyperlink ref="AJ26" r:id="rId8" xr:uid="{00000000-0004-0000-0000-000007000000}"/>
    <hyperlink ref="AJ27" r:id="rId9" xr:uid="{00000000-0004-0000-0000-000008000000}"/>
    <hyperlink ref="AJ28" r:id="rId10" xr:uid="{00000000-0004-0000-0000-000009000000}"/>
    <hyperlink ref="AJ29" r:id="rId11" xr:uid="{00000000-0004-0000-0000-00000A000000}"/>
    <hyperlink ref="AJ33" r:id="rId12" xr:uid="{00000000-0004-0000-0000-00000B000000}"/>
    <hyperlink ref="AJ36" r:id="rId13" xr:uid="{00000000-0004-0000-0000-00000C000000}"/>
    <hyperlink ref="AJ37" r:id="rId14" xr:uid="{00000000-0004-0000-0000-00000D000000}"/>
    <hyperlink ref="AJ41" r:id="rId15" xr:uid="{00000000-0004-0000-0000-00000E000000}"/>
    <hyperlink ref="AJ43" r:id="rId16" xr:uid="{00000000-0004-0000-0000-00000F000000}"/>
    <hyperlink ref="AJ44" r:id="rId17" xr:uid="{00000000-0004-0000-0000-000010000000}"/>
    <hyperlink ref="AJ45" r:id="rId18" xr:uid="{00000000-0004-0000-0000-000011000000}"/>
    <hyperlink ref="AJ46" r:id="rId19" xr:uid="{00000000-0004-0000-0000-000012000000}"/>
    <hyperlink ref="AJ48" r:id="rId20" xr:uid="{00000000-0004-0000-0000-000013000000}"/>
    <hyperlink ref="AJ56" r:id="rId21" xr:uid="{00000000-0004-0000-0000-000014000000}"/>
    <hyperlink ref="AJ57" r:id="rId22" xr:uid="{00000000-0004-0000-0000-000015000000}"/>
    <hyperlink ref="AJ58" r:id="rId23" xr:uid="{00000000-0004-0000-0000-000016000000}"/>
    <hyperlink ref="AJ63" r:id="rId24" xr:uid="{00000000-0004-0000-0000-000017000000}"/>
    <hyperlink ref="AJ66" r:id="rId25" xr:uid="{00000000-0004-0000-0000-000018000000}"/>
    <hyperlink ref="AJ70" r:id="rId26" xr:uid="{00000000-0004-0000-0000-000019000000}"/>
    <hyperlink ref="AJ71" r:id="rId27" xr:uid="{00000000-0004-0000-0000-00001A000000}"/>
    <hyperlink ref="AJ72" r:id="rId28" xr:uid="{00000000-0004-0000-0000-00001B000000}"/>
    <hyperlink ref="AJ73" r:id="rId29" xr:uid="{00000000-0004-0000-0000-00001C000000}"/>
    <hyperlink ref="AJ74" r:id="rId30" xr:uid="{00000000-0004-0000-0000-00001D000000}"/>
    <hyperlink ref="AJ75" r:id="rId31" xr:uid="{00000000-0004-0000-0000-00001E000000}"/>
    <hyperlink ref="AJ78" r:id="rId32" xr:uid="{00000000-0004-0000-0000-00001F000000}"/>
    <hyperlink ref="AJ84" r:id="rId33" xr:uid="{00000000-0004-0000-0000-000020000000}"/>
    <hyperlink ref="AJ86" r:id="rId34" xr:uid="{00000000-0004-0000-0000-000021000000}"/>
    <hyperlink ref="AJ87" r:id="rId35" xr:uid="{00000000-0004-0000-0000-000022000000}"/>
    <hyperlink ref="AJ88" r:id="rId36" xr:uid="{00000000-0004-0000-0000-000023000000}"/>
    <hyperlink ref="AJ95" r:id="rId37" xr:uid="{00000000-0004-0000-0000-000024000000}"/>
    <hyperlink ref="AJ96" r:id="rId38" xr:uid="{00000000-0004-0000-0000-000025000000}"/>
    <hyperlink ref="AJ97" r:id="rId39" xr:uid="{00000000-0004-0000-0000-000026000000}"/>
  </hyperlinks>
  <pageMargins left="0.7" right="0.7" top="0.75" bottom="0.75" header="0" footer="0"/>
  <pageSetup paperSize="9" scale="30" orientation="landscape"/>
  <drawing r:id="rId4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SIKLUS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Lyra Carina</dc:creator>
  <cp:lastModifiedBy>wida widiaty</cp:lastModifiedBy>
  <dcterms:created xsi:type="dcterms:W3CDTF">2026-03-16T11:21:56Z</dcterms:created>
  <dcterms:modified xsi:type="dcterms:W3CDTF">2026-05-12T09:43:08Z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551784248eea4672bdd5a571630cb0e4</vt:lpwstr>
  </property>
</Properties>
</file>